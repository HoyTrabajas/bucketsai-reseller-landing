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rubencordoba/Library/CloudStorage/GoogleDrive-ruben@hoytrabajas.com/My Drive/Talentropy - Hoytrabajas. 2026/Landing Resellers/"/>
    </mc:Choice>
  </mc:AlternateContent>
  <xr:revisionPtr revIDLastSave="0" documentId="13_ncr:1_{AAC30FF4-B5E5-624E-9CD9-84F26F8114D5}" xr6:coauthVersionLast="47" xr6:coauthVersionMax="47" xr10:uidLastSave="{00000000-0000-0000-0000-000000000000}"/>
  <bookViews>
    <workbookView xWindow="2600" yWindow="1520" windowWidth="27640" windowHeight="16680" activeTab="1" xr2:uid="{61DF61CE-CAD2-5A45-B65B-1D93D2CBD643}"/>
  </bookViews>
  <sheets>
    <sheet name="🏠 COVER" sheetId="1" r:id="rId1"/>
    <sheet name="📋 PRICING REFERENCE" sheetId="2" r:id="rId2"/>
    <sheet name="💰 MODALITY A" sheetId="3" r:id="rId3"/>
    <sheet name="💰 MODALITY B" sheetId="4" r:id="rId4"/>
    <sheet name="💰 MODALITY C" sheetId="5" r:id="rId5"/>
    <sheet name="💰 MODALITY D" sheetId="6" r:id="rId6"/>
    <sheet name="📊 SCENARIO COMPARISON"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3" i="7" l="1"/>
  <c r="M61" i="7"/>
  <c r="L61" i="7"/>
  <c r="K61" i="7"/>
  <c r="J61" i="7"/>
  <c r="I61" i="7"/>
  <c r="H61" i="7"/>
  <c r="G61" i="7"/>
  <c r="F61" i="7"/>
  <c r="E61" i="7"/>
  <c r="D61" i="7"/>
  <c r="C61" i="7"/>
  <c r="D35" i="7"/>
  <c r="E34" i="7"/>
  <c r="F34" i="7" s="1"/>
  <c r="D34" i="7"/>
  <c r="E33" i="7"/>
  <c r="F33" i="7" s="1"/>
  <c r="D33" i="7"/>
  <c r="E32" i="7"/>
  <c r="D32" i="7"/>
  <c r="I22" i="7"/>
  <c r="D22" i="7"/>
  <c r="I21" i="7"/>
  <c r="H21" i="7"/>
  <c r="G21" i="7"/>
  <c r="F21" i="7"/>
  <c r="E21" i="7"/>
  <c r="D21" i="7"/>
  <c r="I20" i="7"/>
  <c r="H20" i="7"/>
  <c r="G20" i="7"/>
  <c r="F20" i="7"/>
  <c r="E20" i="7"/>
  <c r="D20" i="7"/>
  <c r="C13" i="7"/>
  <c r="C12" i="7"/>
  <c r="D45" i="6"/>
  <c r="D44" i="6"/>
  <c r="D43" i="6"/>
  <c r="J39" i="6"/>
  <c r="I39" i="6"/>
  <c r="H39" i="6"/>
  <c r="G39" i="6"/>
  <c r="F39" i="6"/>
  <c r="E39" i="6"/>
  <c r="A39" i="6"/>
  <c r="J38" i="6"/>
  <c r="I38" i="6"/>
  <c r="H38" i="6"/>
  <c r="G38" i="6"/>
  <c r="F38" i="6"/>
  <c r="E38" i="6"/>
  <c r="A38" i="6"/>
  <c r="J37" i="6"/>
  <c r="I37" i="6"/>
  <c r="H37" i="6"/>
  <c r="G37" i="6"/>
  <c r="F37" i="6"/>
  <c r="E37" i="6"/>
  <c r="A37" i="6"/>
  <c r="J36" i="6"/>
  <c r="I36" i="6"/>
  <c r="H36" i="6"/>
  <c r="G36" i="6"/>
  <c r="F36" i="6"/>
  <c r="E36" i="6"/>
  <c r="A36" i="6"/>
  <c r="J35" i="6"/>
  <c r="I35" i="6"/>
  <c r="H35" i="6"/>
  <c r="G35" i="6"/>
  <c r="F35" i="6"/>
  <c r="E35" i="6"/>
  <c r="A35" i="6"/>
  <c r="J34" i="6"/>
  <c r="I34" i="6"/>
  <c r="H34" i="6"/>
  <c r="G34" i="6"/>
  <c r="F34" i="6"/>
  <c r="E34" i="6"/>
  <c r="A34" i="6"/>
  <c r="J33" i="6"/>
  <c r="I33" i="6"/>
  <c r="H33" i="6"/>
  <c r="G33" i="6"/>
  <c r="F33" i="6"/>
  <c r="E33" i="6"/>
  <c r="A33" i="6"/>
  <c r="J32" i="6"/>
  <c r="I32" i="6"/>
  <c r="H32" i="6"/>
  <c r="G32" i="6"/>
  <c r="F32" i="6"/>
  <c r="E32" i="6"/>
  <c r="A32" i="6"/>
  <c r="J31" i="6"/>
  <c r="I31" i="6"/>
  <c r="H31" i="6"/>
  <c r="G31" i="6"/>
  <c r="F31" i="6"/>
  <c r="E31" i="6"/>
  <c r="A31" i="6"/>
  <c r="J30" i="6"/>
  <c r="I30" i="6"/>
  <c r="H30" i="6"/>
  <c r="G30" i="6"/>
  <c r="F30" i="6"/>
  <c r="E30" i="6"/>
  <c r="A30" i="6"/>
  <c r="J29" i="6"/>
  <c r="I29" i="6"/>
  <c r="H29" i="6"/>
  <c r="G29" i="6"/>
  <c r="F29" i="6"/>
  <c r="E29" i="6"/>
  <c r="A29" i="6"/>
  <c r="J28" i="6"/>
  <c r="I28" i="6"/>
  <c r="H28" i="6"/>
  <c r="G28" i="6"/>
  <c r="F28" i="6"/>
  <c r="E28" i="6"/>
  <c r="A28" i="6"/>
  <c r="J27" i="6"/>
  <c r="I27" i="6"/>
  <c r="H27" i="6"/>
  <c r="G27" i="6"/>
  <c r="F27" i="6"/>
  <c r="E27" i="6"/>
  <c r="A27" i="6"/>
  <c r="J26" i="6"/>
  <c r="I26" i="6"/>
  <c r="H26" i="6"/>
  <c r="G26" i="6"/>
  <c r="F26" i="6"/>
  <c r="E26" i="6"/>
  <c r="A26" i="6"/>
  <c r="J25" i="6"/>
  <c r="I25" i="6"/>
  <c r="H25" i="6"/>
  <c r="G25" i="6"/>
  <c r="F25" i="6"/>
  <c r="E25" i="6"/>
  <c r="A25" i="6"/>
  <c r="J24" i="6"/>
  <c r="I24" i="6"/>
  <c r="H24" i="6"/>
  <c r="G24" i="6"/>
  <c r="F24" i="6"/>
  <c r="E24" i="6"/>
  <c r="A24" i="6"/>
  <c r="J23" i="6"/>
  <c r="I23" i="6"/>
  <c r="H23" i="6"/>
  <c r="G23" i="6"/>
  <c r="F23" i="6"/>
  <c r="E23" i="6"/>
  <c r="A23" i="6"/>
  <c r="J22" i="6"/>
  <c r="I22" i="6"/>
  <c r="H22" i="6"/>
  <c r="G22" i="6"/>
  <c r="F22" i="6"/>
  <c r="E22" i="6"/>
  <c r="A22" i="6"/>
  <c r="J21" i="6"/>
  <c r="I21" i="6"/>
  <c r="H21" i="6"/>
  <c r="G21" i="6"/>
  <c r="F21" i="6"/>
  <c r="E21" i="6"/>
  <c r="A21" i="6"/>
  <c r="J20" i="6"/>
  <c r="I20" i="6"/>
  <c r="H20" i="6"/>
  <c r="G20" i="6"/>
  <c r="F20" i="6"/>
  <c r="E20" i="6"/>
  <c r="A20" i="6"/>
  <c r="M46" i="5"/>
  <c r="L46" i="5"/>
  <c r="K46" i="5"/>
  <c r="J46" i="5"/>
  <c r="I46" i="5"/>
  <c r="H46" i="5"/>
  <c r="G38" i="5"/>
  <c r="K35" i="5"/>
  <c r="I35" i="5"/>
  <c r="H35" i="5"/>
  <c r="G35" i="5"/>
  <c r="F35" i="5"/>
  <c r="E35" i="5"/>
  <c r="A35" i="5"/>
  <c r="K34" i="5"/>
  <c r="I34" i="5"/>
  <c r="H34" i="5"/>
  <c r="G34" i="5"/>
  <c r="F34" i="5"/>
  <c r="E34" i="5"/>
  <c r="A34" i="5"/>
  <c r="K33" i="5"/>
  <c r="I33" i="5"/>
  <c r="H33" i="5"/>
  <c r="G33" i="5"/>
  <c r="F33" i="5"/>
  <c r="E33" i="5"/>
  <c r="A33" i="5"/>
  <c r="K32" i="5"/>
  <c r="I32" i="5"/>
  <c r="H32" i="5"/>
  <c r="G32" i="5"/>
  <c r="F32" i="5"/>
  <c r="E32" i="5"/>
  <c r="A32" i="5"/>
  <c r="K31" i="5"/>
  <c r="I31" i="5"/>
  <c r="H31" i="5"/>
  <c r="G31" i="5"/>
  <c r="F31" i="5"/>
  <c r="E31" i="5"/>
  <c r="A31" i="5"/>
  <c r="K30" i="5"/>
  <c r="I30" i="5"/>
  <c r="H30" i="5"/>
  <c r="G30" i="5"/>
  <c r="F30" i="5"/>
  <c r="E30" i="5"/>
  <c r="A30" i="5"/>
  <c r="K29" i="5"/>
  <c r="I29" i="5"/>
  <c r="H29" i="5"/>
  <c r="G29" i="5"/>
  <c r="F29" i="5"/>
  <c r="E29" i="5"/>
  <c r="A29" i="5"/>
  <c r="K28" i="5"/>
  <c r="I28" i="5"/>
  <c r="H28" i="5"/>
  <c r="G28" i="5"/>
  <c r="F28" i="5"/>
  <c r="E28" i="5"/>
  <c r="A28" i="5"/>
  <c r="K27" i="5"/>
  <c r="I27" i="5"/>
  <c r="H27" i="5"/>
  <c r="G27" i="5"/>
  <c r="F27" i="5"/>
  <c r="E27" i="5"/>
  <c r="A27" i="5"/>
  <c r="K26" i="5"/>
  <c r="I26" i="5"/>
  <c r="H26" i="5"/>
  <c r="G26" i="5"/>
  <c r="F26" i="5"/>
  <c r="E26" i="5"/>
  <c r="A26" i="5"/>
  <c r="K25" i="5"/>
  <c r="I25" i="5"/>
  <c r="H25" i="5"/>
  <c r="G25" i="5"/>
  <c r="F25" i="5"/>
  <c r="E25" i="5"/>
  <c r="A25" i="5"/>
  <c r="K24" i="5"/>
  <c r="I24" i="5"/>
  <c r="H24" i="5"/>
  <c r="G24" i="5"/>
  <c r="F24" i="5"/>
  <c r="E24" i="5"/>
  <c r="A24" i="5"/>
  <c r="K23" i="5"/>
  <c r="I23" i="5"/>
  <c r="H23" i="5"/>
  <c r="G23" i="5"/>
  <c r="F23" i="5"/>
  <c r="E23" i="5"/>
  <c r="A23" i="5"/>
  <c r="K22" i="5"/>
  <c r="I22" i="5"/>
  <c r="H22" i="5"/>
  <c r="G22" i="5"/>
  <c r="F22" i="5"/>
  <c r="E22" i="5"/>
  <c r="A22" i="5"/>
  <c r="K21" i="5"/>
  <c r="I21" i="5"/>
  <c r="H21" i="5"/>
  <c r="G21" i="5"/>
  <c r="F21" i="5"/>
  <c r="E21" i="5"/>
  <c r="A21" i="5"/>
  <c r="K20" i="5"/>
  <c r="I20" i="5"/>
  <c r="H20" i="5"/>
  <c r="G20" i="5"/>
  <c r="F20" i="5"/>
  <c r="E20" i="5"/>
  <c r="A20" i="5"/>
  <c r="K19" i="5"/>
  <c r="I19" i="5"/>
  <c r="H19" i="5"/>
  <c r="G19" i="5"/>
  <c r="F19" i="5"/>
  <c r="E19" i="5"/>
  <c r="A19" i="5"/>
  <c r="K18" i="5"/>
  <c r="I18" i="5"/>
  <c r="H18" i="5"/>
  <c r="G18" i="5"/>
  <c r="F18" i="5"/>
  <c r="E18" i="5"/>
  <c r="A18" i="5"/>
  <c r="K17" i="5"/>
  <c r="I17" i="5"/>
  <c r="H17" i="5"/>
  <c r="G17" i="5"/>
  <c r="F17" i="5"/>
  <c r="E17" i="5"/>
  <c r="A17" i="5"/>
  <c r="K16" i="5"/>
  <c r="I16" i="5"/>
  <c r="H16" i="5"/>
  <c r="G16" i="5"/>
  <c r="F16" i="5"/>
  <c r="E16" i="5"/>
  <c r="A16" i="5"/>
  <c r="M46" i="4"/>
  <c r="L46" i="4"/>
  <c r="K46" i="4"/>
  <c r="J46" i="4"/>
  <c r="I46" i="4"/>
  <c r="H46" i="4"/>
  <c r="G46" i="4"/>
  <c r="F46" i="4"/>
  <c r="E46" i="4"/>
  <c r="G42" i="4"/>
  <c r="G38" i="4"/>
  <c r="K35" i="4"/>
  <c r="I35" i="4"/>
  <c r="H35" i="4"/>
  <c r="G35" i="4"/>
  <c r="F35" i="4"/>
  <c r="E35" i="4"/>
  <c r="A35" i="4"/>
  <c r="K34" i="4"/>
  <c r="I34" i="4"/>
  <c r="H34" i="4"/>
  <c r="G34" i="4"/>
  <c r="F34" i="4"/>
  <c r="E34" i="4"/>
  <c r="A34" i="4"/>
  <c r="K33" i="4"/>
  <c r="I33" i="4"/>
  <c r="H33" i="4"/>
  <c r="G33" i="4"/>
  <c r="F33" i="4"/>
  <c r="E33" i="4"/>
  <c r="A33" i="4"/>
  <c r="K32" i="4"/>
  <c r="I32" i="4"/>
  <c r="H32" i="4"/>
  <c r="G32" i="4"/>
  <c r="F32" i="4"/>
  <c r="E32" i="4"/>
  <c r="A32" i="4"/>
  <c r="K31" i="4"/>
  <c r="I31" i="4"/>
  <c r="H31" i="4"/>
  <c r="G31" i="4"/>
  <c r="F31" i="4"/>
  <c r="E31" i="4"/>
  <c r="A31" i="4"/>
  <c r="K30" i="4"/>
  <c r="I30" i="4"/>
  <c r="H30" i="4"/>
  <c r="G30" i="4"/>
  <c r="F30" i="4"/>
  <c r="E30" i="4"/>
  <c r="A30" i="4"/>
  <c r="K29" i="4"/>
  <c r="I29" i="4"/>
  <c r="H29" i="4"/>
  <c r="G29" i="4"/>
  <c r="F29" i="4"/>
  <c r="E29" i="4"/>
  <c r="A29" i="4"/>
  <c r="K28" i="4"/>
  <c r="I28" i="4"/>
  <c r="H28" i="4"/>
  <c r="G28" i="4"/>
  <c r="F28" i="4"/>
  <c r="E28" i="4"/>
  <c r="A28" i="4"/>
  <c r="K27" i="4"/>
  <c r="I27" i="4"/>
  <c r="H27" i="4"/>
  <c r="G27" i="4"/>
  <c r="F27" i="4"/>
  <c r="E27" i="4"/>
  <c r="A27" i="4"/>
  <c r="K26" i="4"/>
  <c r="I26" i="4"/>
  <c r="H26" i="4"/>
  <c r="G26" i="4"/>
  <c r="F26" i="4"/>
  <c r="E26" i="4"/>
  <c r="A26" i="4"/>
  <c r="K25" i="4"/>
  <c r="I25" i="4"/>
  <c r="H25" i="4"/>
  <c r="G25" i="4"/>
  <c r="F25" i="4"/>
  <c r="E25" i="4"/>
  <c r="A25" i="4"/>
  <c r="K24" i="4"/>
  <c r="I24" i="4"/>
  <c r="H24" i="4"/>
  <c r="G24" i="4"/>
  <c r="F24" i="4"/>
  <c r="E24" i="4"/>
  <c r="A24" i="4"/>
  <c r="K23" i="4"/>
  <c r="I23" i="4"/>
  <c r="H23" i="4"/>
  <c r="G23" i="4"/>
  <c r="F23" i="4"/>
  <c r="E23" i="4"/>
  <c r="A23" i="4"/>
  <c r="K22" i="4"/>
  <c r="I22" i="4"/>
  <c r="H22" i="4"/>
  <c r="G22" i="4"/>
  <c r="F22" i="4"/>
  <c r="E22" i="4"/>
  <c r="A22" i="4"/>
  <c r="K21" i="4"/>
  <c r="I21" i="4"/>
  <c r="H21" i="4"/>
  <c r="G21" i="4"/>
  <c r="F21" i="4"/>
  <c r="E21" i="4"/>
  <c r="A21" i="4"/>
  <c r="K20" i="4"/>
  <c r="I20" i="4"/>
  <c r="H20" i="4"/>
  <c r="G20" i="4"/>
  <c r="F20" i="4"/>
  <c r="E20" i="4"/>
  <c r="A20" i="4"/>
  <c r="K19" i="4"/>
  <c r="I19" i="4"/>
  <c r="H19" i="4"/>
  <c r="G19" i="4"/>
  <c r="F19" i="4"/>
  <c r="E19" i="4"/>
  <c r="A19" i="4"/>
  <c r="K18" i="4"/>
  <c r="I18" i="4"/>
  <c r="H18" i="4"/>
  <c r="G18" i="4"/>
  <c r="F18" i="4"/>
  <c r="E18" i="4"/>
  <c r="A18" i="4"/>
  <c r="K17" i="4"/>
  <c r="I17" i="4"/>
  <c r="H17" i="4"/>
  <c r="G17" i="4"/>
  <c r="F17" i="4"/>
  <c r="E17" i="4"/>
  <c r="A17" i="4"/>
  <c r="K16" i="4"/>
  <c r="I16" i="4"/>
  <c r="H16" i="4"/>
  <c r="G16" i="4"/>
  <c r="F16" i="4"/>
  <c r="E16" i="4"/>
  <c r="A16" i="4"/>
  <c r="G38" i="3"/>
  <c r="I35" i="3"/>
  <c r="H35" i="3"/>
  <c r="G35" i="3"/>
  <c r="F35" i="3"/>
  <c r="E35" i="3"/>
  <c r="A35" i="3"/>
  <c r="I34" i="3"/>
  <c r="H34" i="3"/>
  <c r="G34" i="3"/>
  <c r="F34" i="3"/>
  <c r="E34" i="3"/>
  <c r="A34" i="3"/>
  <c r="I33" i="3"/>
  <c r="H33" i="3"/>
  <c r="G33" i="3"/>
  <c r="F33" i="3"/>
  <c r="E33" i="3"/>
  <c r="A33" i="3"/>
  <c r="I32" i="3"/>
  <c r="H32" i="3"/>
  <c r="G32" i="3"/>
  <c r="F32" i="3"/>
  <c r="E32" i="3"/>
  <c r="A32" i="3"/>
  <c r="I31" i="3"/>
  <c r="H31" i="3"/>
  <c r="G31" i="3"/>
  <c r="F31" i="3"/>
  <c r="E31" i="3"/>
  <c r="A31" i="3"/>
  <c r="I30" i="3"/>
  <c r="H30" i="3"/>
  <c r="G30" i="3"/>
  <c r="F30" i="3"/>
  <c r="E30" i="3"/>
  <c r="A30" i="3"/>
  <c r="I29" i="3"/>
  <c r="H29" i="3"/>
  <c r="G29" i="3"/>
  <c r="F29" i="3"/>
  <c r="E29" i="3"/>
  <c r="A29" i="3"/>
  <c r="I28" i="3"/>
  <c r="H28" i="3"/>
  <c r="G28" i="3"/>
  <c r="F28" i="3"/>
  <c r="E28" i="3"/>
  <c r="A28" i="3"/>
  <c r="I27" i="3"/>
  <c r="H27" i="3"/>
  <c r="G27" i="3"/>
  <c r="F27" i="3"/>
  <c r="E27" i="3"/>
  <c r="A27" i="3"/>
  <c r="I26" i="3"/>
  <c r="H26" i="3"/>
  <c r="G26" i="3"/>
  <c r="F26" i="3"/>
  <c r="E26" i="3"/>
  <c r="A26" i="3"/>
  <c r="I25" i="3"/>
  <c r="H25" i="3"/>
  <c r="G25" i="3"/>
  <c r="F25" i="3"/>
  <c r="E25" i="3"/>
  <c r="A25" i="3"/>
  <c r="I24" i="3"/>
  <c r="H24" i="3"/>
  <c r="G24" i="3"/>
  <c r="F24" i="3"/>
  <c r="E24" i="3"/>
  <c r="A24" i="3"/>
  <c r="I23" i="3"/>
  <c r="H23" i="3"/>
  <c r="G23" i="3"/>
  <c r="F23" i="3"/>
  <c r="E23" i="3"/>
  <c r="A23" i="3"/>
  <c r="I22" i="3"/>
  <c r="H22" i="3"/>
  <c r="G22" i="3"/>
  <c r="F22" i="3"/>
  <c r="E22" i="3"/>
  <c r="A22" i="3"/>
  <c r="I21" i="3"/>
  <c r="H21" i="3"/>
  <c r="G21" i="3"/>
  <c r="F21" i="3"/>
  <c r="E21" i="3"/>
  <c r="A21" i="3"/>
  <c r="I20" i="3"/>
  <c r="H20" i="3"/>
  <c r="G20" i="3"/>
  <c r="F20" i="3"/>
  <c r="E20" i="3"/>
  <c r="A20" i="3"/>
  <c r="I19" i="3"/>
  <c r="H19" i="3"/>
  <c r="G19" i="3"/>
  <c r="F19" i="3"/>
  <c r="E19" i="3"/>
  <c r="A19" i="3"/>
  <c r="I18" i="3"/>
  <c r="H18" i="3"/>
  <c r="G18" i="3"/>
  <c r="F18" i="3"/>
  <c r="E18" i="3"/>
  <c r="A18" i="3"/>
  <c r="I17" i="3"/>
  <c r="H17" i="3"/>
  <c r="G17" i="3"/>
  <c r="F17" i="3"/>
  <c r="E17" i="3"/>
  <c r="A17" i="3"/>
  <c r="I16" i="3"/>
  <c r="H16" i="3"/>
  <c r="G16" i="3"/>
  <c r="F16" i="3"/>
  <c r="E16" i="3"/>
  <c r="A16" i="3"/>
  <c r="F8" i="2"/>
  <c r="F7" i="2"/>
  <c r="F6" i="2"/>
  <c r="C39" i="1"/>
  <c r="E36" i="7" l="1"/>
  <c r="F32" i="7"/>
  <c r="N62" i="7"/>
  <c r="M62" i="7"/>
  <c r="L62" i="7"/>
  <c r="K62" i="7"/>
  <c r="J62" i="7"/>
  <c r="I62" i="7"/>
  <c r="H62" i="7"/>
  <c r="G62" i="7"/>
  <c r="F62" i="7"/>
  <c r="E62" i="7"/>
  <c r="D62" i="7"/>
  <c r="C62" i="7"/>
  <c r="N61" i="7"/>
  <c r="C14" i="7"/>
  <c r="E45" i="6" a="1"/>
  <c r="E45" i="6" s="1"/>
  <c r="B54" i="6" s="1"/>
  <c r="N54" i="6" s="1"/>
  <c r="E43" i="6" a="1"/>
  <c r="E43" i="6" s="1"/>
  <c r="E44" i="6" a="1"/>
  <c r="E44" i="6" s="1"/>
  <c r="E35" i="7"/>
  <c r="F35" i="7" s="1"/>
  <c r="F45" i="6" a="1"/>
  <c r="F45" i="6" s="1"/>
  <c r="F43" i="6" a="1"/>
  <c r="F43" i="6" s="1"/>
  <c r="F44" i="6" a="1"/>
  <c r="F44" i="6" s="1"/>
  <c r="B46" i="5"/>
  <c r="G39" i="5"/>
  <c r="E46" i="5"/>
  <c r="G46" i="5"/>
  <c r="F46" i="5"/>
  <c r="C46" i="5"/>
  <c r="D46" i="5"/>
  <c r="G40" i="5"/>
  <c r="G41" i="5"/>
  <c r="G42" i="5"/>
  <c r="G41" i="4"/>
  <c r="G40" i="4"/>
  <c r="G39" i="4"/>
  <c r="C46" i="4"/>
  <c r="B46" i="4"/>
  <c r="D46" i="4"/>
  <c r="G41" i="3"/>
  <c r="B45" i="3"/>
  <c r="N45" i="3" s="1"/>
  <c r="G40" i="3"/>
  <c r="G39" i="3"/>
  <c r="D17" i="7" l="1"/>
  <c r="I17" i="7" s="1"/>
  <c r="C58" i="7"/>
  <c r="C59" i="7"/>
  <c r="D59" i="7"/>
  <c r="E59" i="7"/>
  <c r="C60" i="7"/>
  <c r="D60" i="7"/>
  <c r="E60" i="7"/>
  <c r="F60" i="7"/>
  <c r="G60" i="7"/>
  <c r="H60" i="7"/>
  <c r="D18" i="7"/>
  <c r="F18" i="7"/>
  <c r="D19" i="7"/>
  <c r="G19" i="7"/>
  <c r="E18" i="7"/>
  <c r="I18" i="7"/>
  <c r="E19" i="7"/>
  <c r="F19" i="7"/>
  <c r="I19" i="7"/>
  <c r="B52" i="6"/>
  <c r="C52" i="6"/>
  <c r="C55" i="6" s="1"/>
  <c r="D52" i="6"/>
  <c r="E52" i="6"/>
  <c r="F52" i="6"/>
  <c r="G52" i="6"/>
  <c r="H52" i="6"/>
  <c r="H55" i="6" s="1"/>
  <c r="I52" i="6"/>
  <c r="I55" i="6" s="1"/>
  <c r="J52" i="6"/>
  <c r="K52" i="6"/>
  <c r="L52" i="6"/>
  <c r="M52" i="6"/>
  <c r="B53" i="6"/>
  <c r="C53" i="6"/>
  <c r="D53" i="6"/>
  <c r="E53" i="6"/>
  <c r="F53" i="6"/>
  <c r="G53" i="6"/>
  <c r="H53" i="6"/>
  <c r="I53" i="6"/>
  <c r="J53" i="6"/>
  <c r="K53" i="6"/>
  <c r="L53" i="6"/>
  <c r="M53" i="6"/>
  <c r="F48" i="6"/>
  <c r="N46" i="5"/>
  <c r="N46" i="4"/>
  <c r="D23" i="7" l="1"/>
  <c r="G23" i="7"/>
  <c r="N52" i="6"/>
  <c r="B55" i="6"/>
  <c r="N55" i="6" s="1"/>
  <c r="D55" i="6"/>
  <c r="E55" i="6"/>
  <c r="F55" i="6"/>
  <c r="G55" i="6"/>
  <c r="J55" i="6"/>
  <c r="K55" i="6"/>
  <c r="L55" i="6"/>
  <c r="M55" i="6"/>
  <c r="N53" i="6"/>
  <c r="B26" i="7" l="1"/>
  <c r="B27"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<sst xmlns="http://schemas.openxmlformats.org/spreadsheetml/2006/main" count="378" uniqueCount="184">
  <si>
    <t>[  BucketsAI Logo  ]</t>
  </si>
  <si>
    <t>BucketsAI</t>
  </si>
  <si>
    <t>Reseller Commission Calculator</t>
  </si>
  <si>
    <t>This tool helps BucketsAI resellers model and compare commission earnings across all four commission modalities (A, B, C, D) for any combination of plans sold. Use the blue input cells in each tab to enter your clients and see your projected commissions instantly.</t>
  </si>
  <si>
    <t>HOW TO USE</t>
  </si>
  <si>
    <t>1. Go to any Modality tab (A, B, C, or D)</t>
  </si>
  <si>
    <t>2. Enter your clients in the blue input cells (plan type, billing type, quantity)</t>
  </si>
  <si>
    <t>3. View your month-by-month commission schedule and totals</t>
  </si>
  <si>
    <t>4. Go to the SCENARIO COMPARISON tab to compare all modalities side by side</t>
  </si>
  <si>
    <t>BucketsAI — Pricing &amp; Commission Reference</t>
  </si>
  <si>
    <t>All prices in USD. Use this sheet as your reference guide.</t>
  </si>
  <si>
    <t>SECTION 1 — Plan Pricing</t>
  </si>
  <si>
    <t>Plan</t>
  </si>
  <si>
    <t>Monthly Billing</t>
  </si>
  <si>
    <t>Annual (per month)</t>
  </si>
  <si>
    <t>Annual (total)</t>
  </si>
  <si>
    <t>Monthly vs Annual Savings</t>
  </si>
  <si>
    <t>Team</t>
  </si>
  <si>
    <t>Department</t>
  </si>
  <si>
    <t>Company</t>
  </si>
  <si>
    <t>SECTION 2 — Commission Modality Quick Reference</t>
  </si>
  <si>
    <t>Modality</t>
  </si>
  <si>
    <t>Name</t>
  </si>
  <si>
    <t>Rate</t>
  </si>
  <si>
    <t>Duration</t>
  </si>
  <si>
    <t>Billing Type</t>
  </si>
  <si>
    <t>Best For</t>
  </si>
  <si>
    <t>A</t>
  </si>
  <si>
    <t>First Invoice</t>
  </si>
  <si>
    <t>Month 1</t>
  </si>
  <si>
    <t>Any</t>
  </si>
  <si>
    <t>Quick cash, fast wins</t>
  </si>
  <si>
    <t>B</t>
  </si>
  <si>
    <t>50% — 3 Months</t>
  </si>
  <si>
    <t>50%/mo</t>
  </si>
  <si>
    <t>Months 1–3</t>
  </si>
  <si>
    <t>Short sales cycles</t>
  </si>
  <si>
    <t>C</t>
  </si>
  <si>
    <t>30% — 6 Months</t>
  </si>
  <si>
    <t>30%/mo</t>
  </si>
  <si>
    <t>Months 1–6</t>
  </si>
  <si>
    <t>Mid-term clients</t>
  </si>
  <si>
    <t>D1</t>
  </si>
  <si>
    <t>10% Recurring</t>
  </si>
  <si>
    <t>10%/mo</t>
  </si>
  <si>
    <t>12 months</t>
  </si>
  <si>
    <t>Monthly</t>
  </si>
  <si>
    <t>Stable monthly income</t>
  </si>
  <si>
    <t>D2</t>
  </si>
  <si>
    <t>12% Committed</t>
  </si>
  <si>
    <t>12%/mo</t>
  </si>
  <si>
    <t>Monthly+Commit</t>
  </si>
  <si>
    <t>Best monthly recurring</t>
  </si>
  <si>
    <t>D3</t>
  </si>
  <si>
    <t>15% Annual Lump Sum</t>
  </si>
  <si>
    <t>15% flat</t>
  </si>
  <si>
    <t>Annual</t>
  </si>
  <si>
    <t>Best for annual deals</t>
  </si>
  <si>
    <t>SECTION 3 — Max Commission per Client — Department Plan</t>
  </si>
  <si>
    <t>Max Commission ($)</t>
  </si>
  <si>
    <t>Modality A — First Invoice Commission (100%)</t>
  </si>
  <si>
    <t>You earn 100% of the first invoice. One payment per client. No recurring.</t>
  </si>
  <si>
    <t>HOW IT WORKS:</t>
  </si>
  <si>
    <t>• Monthly plan client: Commission = first monthly invoice amount (one-time)</t>
  </si>
  <si>
    <t>• Annual plan client: Commission = annual total ÷ 12 (one monthly equivalent, one-time)</t>
  </si>
  <si>
    <t>• Payment timing: Received once the first invoice is confirmed as paid</t>
  </si>
  <si>
    <t>• No recurring commissions after Month 1</t>
  </si>
  <si>
    <t>STEP 1 — Enter your clients below (blue cells are yours to edit)</t>
  </si>
  <si>
    <t>#</t>
  </si>
  <si>
    <t>Client Name</t>
  </si>
  <si>
    <t>Monthly Rate ($)</t>
  </si>
  <si>
    <t>Annual Total ($)</t>
  </si>
  <si>
    <t>Commission Basis ($)</t>
  </si>
  <si>
    <t>Commission Earned ($)</t>
  </si>
  <si>
    <t>Payment Period</t>
  </si>
  <si>
    <t>Notes</t>
  </si>
  <si>
    <t>Example</t>
  </si>
  <si>
    <t>-</t>
  </si>
  <si>
    <t>Example only</t>
  </si>
  <si>
    <t>SUMMARY</t>
  </si>
  <si>
    <t>Total Clients Entered</t>
  </si>
  <si>
    <t>Total Commission — Month 1</t>
  </si>
  <si>
    <t>Average Commission per Client</t>
  </si>
  <si>
    <t>Largest Single Commission</t>
  </si>
  <si>
    <t>MONTHLY PAYOUT SCHEDULE</t>
  </si>
  <si>
    <t>Mo 1</t>
  </si>
  <si>
    <t>Mo 2</t>
  </si>
  <si>
    <t>Mo 3</t>
  </si>
  <si>
    <t>Mo 4</t>
  </si>
  <si>
    <t>Mo 5</t>
  </si>
  <si>
    <t>Mo 6</t>
  </si>
  <si>
    <t>Mo 7</t>
  </si>
  <si>
    <t>Mo 8</t>
  </si>
  <si>
    <t>Mo 9</t>
  </si>
  <si>
    <t>Mo 10</t>
  </si>
  <si>
    <t>Mo 11</t>
  </si>
  <si>
    <t>Mo 12</t>
  </si>
  <si>
    <t>TOTAL</t>
  </si>
  <si>
    <t>All Clients</t>
  </si>
  <si>
    <t>Modality B — 50% Commission for 3 Months</t>
  </si>
  <si>
    <t>You earn 50% of each invoice for the first 3 months only.</t>
  </si>
  <si>
    <t>• Monthly plan: 50% × monthly invoice × months 1, 2, 3</t>
  </si>
  <si>
    <t>• Annual plan: 50% × (annual total ÷ 12) × months 1, 2, 3</t>
  </si>
  <si>
    <t>• No commission from Month 4 onward</t>
  </si>
  <si>
    <t>• Payment: each month as the client's invoice is confirmed paid</t>
  </si>
  <si>
    <t>Commission per Month ($)</t>
  </si>
  <si>
    <t>Total Commission (3 mo)</t>
  </si>
  <si>
    <t>Total Commission per Month</t>
  </si>
  <si>
    <t>Total Commission over 3 Months</t>
  </si>
  <si>
    <t>Average Commission per Client (3 mo)</t>
  </si>
  <si>
    <t>Largest Single Client Total</t>
  </si>
  <si>
    <t>Modality C — 30% Commission for 6 Months</t>
  </si>
  <si>
    <t>You earn 30% of each invoice for the first 6 months only.</t>
  </si>
  <si>
    <t>• Monthly plan: 30% × monthly invoice × months 1 through 6</t>
  </si>
  <si>
    <t>• Annual plan: 30% × (annual total ÷ 12) × months 1 through 6</t>
  </si>
  <si>
    <t>• No commission from Month 7 onward</t>
  </si>
  <si>
    <t>Total Commission (6 mo)</t>
  </si>
  <si>
    <t>Months 1-6</t>
  </si>
  <si>
    <t>Total Commission over 6 Months</t>
  </si>
  <si>
    <t>Average Commission per Client (6 mo)</t>
  </si>
  <si>
    <t>HOW IT WORKS — THREE SUB-TYPES:</t>
  </si>
  <si>
    <t>D1 — Monthly plan, no annual commitment:</t>
  </si>
  <si>
    <t xml:space="preserve">     10% of each monthly invoice, paid for 12 consecutive months</t>
  </si>
  <si>
    <t>D2 — Monthly plan WITH 12-month signed contract:</t>
  </si>
  <si>
    <t xml:space="preserve">     12% of each monthly invoice, paid for 12 consecutive months</t>
  </si>
  <si>
    <t xml:space="preserve">     (Requires a formal 12-month commitment from the client)</t>
  </si>
  <si>
    <t>D3 — Annual plan (any tier):</t>
  </si>
  <si>
    <t xml:space="preserve">     15% of the TOTAL annual plan value, paid as a single lump sum</t>
  </si>
  <si>
    <t>Sub-type</t>
  </si>
  <si>
    <t>Commission Rate (%)</t>
  </si>
  <si>
    <t>Commission ($)</t>
  </si>
  <si>
    <t>Total Commission ($)</t>
  </si>
  <si>
    <t>No commitment</t>
  </si>
  <si>
    <t>12-mo contract</t>
  </si>
  <si>
    <t>Month 1 (lump sum)</t>
  </si>
  <si>
    <t>Annual plan</t>
  </si>
  <si>
    <t>SUB-TOTALS BY TYPE</t>
  </si>
  <si>
    <t>Description</t>
  </si>
  <si>
    <t>Client Count</t>
  </si>
  <si>
    <t>Monthly Commission</t>
  </si>
  <si>
    <t>Total Commission</t>
  </si>
  <si>
    <t>10% x 12 months (no commitment)</t>
  </si>
  <si>
    <t>12% x 12 months (annual commitment)</t>
  </si>
  <si>
    <t>15% annual lump sum</t>
  </si>
  <si>
    <t>GRAND TOTAL (All D Sub-types)</t>
  </si>
  <si>
    <t>Client Name:</t>
  </si>
  <si>
    <t>Sample Client</t>
  </si>
  <si>
    <t>Plan:</t>
  </si>
  <si>
    <t>Billing Type:</t>
  </si>
  <si>
    <t>Monthly Rate:</t>
  </si>
  <si>
    <t>Annual Total:</t>
  </si>
  <si>
    <t>Commission Basis:</t>
  </si>
  <si>
    <t>Mo 4-6 (ea)</t>
  </si>
  <si>
    <t>Mo 7-12 (ea)</t>
  </si>
  <si>
    <t>First Invoice (100%)</t>
  </si>
  <si>
    <t>50% x 3 months</t>
  </si>
  <si>
    <t>30% x 6 months</t>
  </si>
  <si>
    <t>10% x 12 months</t>
  </si>
  <si>
    <t>12% x 12 mo (commit)</t>
  </si>
  <si>
    <t>⭐ BEST Modality:</t>
  </si>
  <si>
    <t>with total commission of:</t>
  </si>
  <si>
    <t>RECOMMENDATION</t>
  </si>
  <si>
    <t>FULL PORTFOLIO COMPARISON — Totals from Each Modality Tab</t>
  </si>
  <si>
    <t>Tab Source</t>
  </si>
  <si>
    <t>Total Clients</t>
  </si>
  <si>
    <t>Avg per Client</t>
  </si>
  <si>
    <t>Modality A tab</t>
  </si>
  <si>
    <t>Quick cash</t>
  </si>
  <si>
    <t>Modality B tab</t>
  </si>
  <si>
    <t>3-month clients</t>
  </si>
  <si>
    <t>Modality C tab</t>
  </si>
  <si>
    <t>6-month clients</t>
  </si>
  <si>
    <t>D (all)</t>
  </si>
  <si>
    <t>Modality D tab</t>
  </si>
  <si>
    <t>Long-term clients</t>
  </si>
  <si>
    <t>⭐ HIGHEST Portfolio Commission:</t>
  </si>
  <si>
    <t>Month</t>
  </si>
  <si>
    <t>KEY INSIGHTS</t>
  </si>
  <si>
    <t>To maximize TOTAL earnings:</t>
  </si>
  <si>
    <t>To maximize FAST cash:</t>
  </si>
  <si>
    <t>To maximize RECURRING income:</t>
  </si>
  <si>
    <t>D2 (12% x 12 mo) yields the highest total for monthly clients. D3 (15%) is best for annual plans.</t>
  </si>
  <si>
    <t>Modality A gives 100% of the first invoice immediately. Best for uncertain retention.</t>
  </si>
  <si>
    <t>D1 and D2 spread commissions over 12 months for predictable recurring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</si>
</sst>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0.0%"/>
    <numFmt numFmtId="166" formatCode="&quot;$&quot;#,##0.00;\(&quot;$&quot;#,##0.00\);&quot;-&quot;"/>
    <numFmt numFmtId="167" formatCode="#,##0;\(#,##0\);&quot;-&quot;"/>
  </numFmts>
  <fonts count="21" x14ac:knownFonts="1">
    <font>
      <sz val="12"/>
      <color theme="1"/>
      <name val="Aptos Narrow"/>
      <family val="2"/>
      <scheme val="minor"/>
    </font>
    <font>
      <sz val="12"/>
      <color theme="1"/>
      <name val="Arial"/>
      <family val="2"/>
    </font>
    <font>
      <b/>
      <sz val="24"/>
      <color rgb="FFFFFFFF"/>
      <name val="Arial"/>
      <family val="2"/>
    </font>
    <font>
      <b/>
      <sz val="16"/>
      <color rgb="FFE26B0A"/>
      <name val="Arial"/>
      <family val="2"/>
    </font>
    <font>
      <sz val="11"/>
      <color rgb="FFFFFFFF"/>
      <name val="Arial"/>
      <family val="2"/>
    </font>
    <font>
      <b/>
      <sz val="12"/>
      <color rgb="FFFFFFFF"/>
      <name val="Arial"/>
      <family val="2"/>
    </font>
    <font>
      <i/>
      <sz val="9"/>
      <color rgb="FFFFFFFF"/>
      <name val="Arial"/>
      <family val="2"/>
    </font>
    <font>
      <i/>
      <sz val="14"/>
      <color rgb="FFFFFFFF"/>
      <name val="Arial"/>
      <family val="2"/>
    </font>
    <font>
      <i/>
      <sz val="10"/>
      <color rgb="FF808080"/>
      <name val="Arial"/>
      <family val="2"/>
    </font>
    <font>
      <b/>
      <sz val="11"/>
      <color theme="1"/>
      <name val="Arial"/>
      <family val="2"/>
    </font>
    <font>
      <b/>
      <sz val="10"/>
      <color rgb="FFFFFFFF"/>
      <name val="Arial"/>
      <family val="2"/>
    </font>
    <font>
      <sz val="10"/>
      <color theme="1"/>
      <name val="Arial"/>
      <family val="2"/>
    </font>
    <font>
      <b/>
      <sz val="10"/>
      <color theme="1"/>
      <name val="Arial"/>
      <family val="2"/>
    </font>
    <font>
      <sz val="10"/>
      <color rgb="FF0000FF"/>
      <name val="Arial"/>
      <family val="2"/>
    </font>
    <font>
      <b/>
      <sz val="10"/>
      <color rgb="FF003366"/>
      <name val="Arial"/>
      <family val="2"/>
    </font>
    <font>
      <b/>
      <sz val="14"/>
      <color rgb="FFFFFFFF"/>
      <name val="Arial"/>
      <family val="2"/>
    </font>
    <font>
      <sz val="10"/>
      <color rgb="FF000000"/>
      <name val="Arial"/>
      <family val="2"/>
    </font>
    <font>
      <sz val="10"/>
      <color rgb="FF008000"/>
      <name val="Arial"/>
      <family val="2"/>
    </font>
    <font>
      <b/>
      <sz val="10"/>
      <color rgb="FF008000"/>
      <name val="Arial"/>
      <family val="2"/>
    </font>
    <font>
      <b/>
      <sz val="11"/>
      <color rgb="FF008000"/>
      <name val="Arial"/>
      <family val="2"/>
    </font>
    <font>
      <sz val="9"/>
      <color theme="1"/>
      <name val="Arial"/>
      <family val="2"/>
    </font>
  </fonts>
  <fills count="17">
    <fill>
      <patternFill patternType="none"/>
    </fill>
    <fill>
      <patternFill patternType="gray125"/>
    </fill>
    <fill>
      <patternFill patternType="solid">
        <fgColor rgb="FF003366"/>
        <bgColor indexed="64"/>
      </patternFill>
    </fill>
    <fill>
      <patternFill patternType="solid">
        <fgColor rgb="FFF2F2F2"/>
        <bgColor indexed="64"/>
      </patternFill>
    </fill>
    <fill>
      <patternFill patternType="solid">
        <fgColor rgb="FFFFFF00"/>
        <bgColor indexed="64"/>
      </patternFill>
    </fill>
    <fill>
      <patternFill patternType="solid">
        <fgColor rgb="FFE2EFDA"/>
        <bgColor indexed="64"/>
      </patternFill>
    </fill>
    <fill>
      <patternFill patternType="solid">
        <fgColor rgb="FFDEEAF1"/>
        <bgColor indexed="64"/>
      </patternFill>
    </fill>
    <fill>
      <patternFill patternType="solid">
        <fgColor rgb="FFEAD1DC"/>
        <bgColor indexed="64"/>
      </patternFill>
    </fill>
    <fill>
      <patternFill patternType="solid">
        <fgColor rgb="FFFCE4D6"/>
        <bgColor indexed="64"/>
      </patternFill>
    </fill>
    <fill>
      <patternFill patternType="solid">
        <fgColor rgb="FF375623"/>
        <bgColor indexed="64"/>
      </patternFill>
    </fill>
    <fill>
      <patternFill patternType="solid">
        <fgColor rgb="FFEBF3FB"/>
        <bgColor indexed="64"/>
      </patternFill>
    </fill>
    <fill>
      <patternFill patternType="solid">
        <fgColor rgb="FF1F4E79"/>
        <bgColor indexed="64"/>
      </patternFill>
    </fill>
    <fill>
      <patternFill patternType="solid">
        <fgColor rgb="FF4B0082"/>
        <bgColor indexed="64"/>
      </patternFill>
    </fill>
    <fill>
      <patternFill patternType="solid">
        <fgColor rgb="FF7B0000"/>
        <bgColor indexed="64"/>
      </patternFill>
    </fill>
    <fill>
      <patternFill patternType="solid">
        <fgColor rgb="FFD9EAD3"/>
        <bgColor indexed="64"/>
      </patternFill>
    </fill>
    <fill>
      <patternFill patternType="solid">
        <fgColor rgb="FFEBF5EB"/>
        <bgColor indexed="64"/>
      </patternFill>
    </fill>
    <fill>
      <patternFill patternType="solid">
        <fgColor rgb="FFD6E4F0"/>
        <bgColor indexed="64"/>
      </patternFill>
    </fill>
  </fills>
  <borders count="11">
    <border>
      <left/>
      <right/>
      <top/>
      <bottom/>
      <diagonal/>
    </border>
    <border>
      <left/>
      <right/>
      <top style="thin">
        <color rgb="FFFFFFFF"/>
      </top>
      <bottom/>
      <diagonal/>
    </border>
    <border>
      <left/>
      <right/>
      <top/>
      <bottom style="thin">
        <color rgb="FFFFFFFF"/>
      </bottom>
      <diagonal/>
    </border>
    <border>
      <left style="thin">
        <color rgb="FFFFFFFF"/>
      </left>
      <right/>
      <top style="thin">
        <color rgb="FFFFFFFF"/>
      </top>
      <bottom/>
      <diagonal/>
    </border>
    <border>
      <left style="thin">
        <color rgb="FFFFFFFF"/>
      </left>
      <right/>
      <top/>
      <bottom/>
      <diagonal/>
    </border>
    <border>
      <left style="thin">
        <color rgb="FFFFFFFF"/>
      </left>
      <right/>
      <top/>
      <bottom style="thin">
        <color rgb="FFFFFFFF"/>
      </bottom>
      <diagonal/>
    </border>
    <border>
      <left/>
      <right style="thin">
        <color rgb="FFFFFFFF"/>
      </right>
      <top style="thin">
        <color rgb="FFFFFFFF"/>
      </top>
      <bottom/>
      <diagonal/>
    </border>
    <border>
      <left/>
      <right style="thin">
        <color rgb="FFFFFFFF"/>
      </right>
      <top/>
      <bottom/>
      <diagonal/>
    </border>
    <border>
      <left/>
      <right style="thin">
        <color rgb="FFFFFFFF"/>
      </right>
      <top/>
      <bottom style="thin">
        <color rgb="FFFFFFFF"/>
      </bottom>
      <diagonal/>
    </border>
    <border>
      <left/>
      <right/>
      <top/>
      <bottom style="thin">
        <color rgb="FFFF0000"/>
      </bottom>
      <diagonal/>
    </border>
    <border>
      <left/>
      <right/>
      <top/>
      <bottom style="thick">
        <color rgb="FFE26B0A"/>
      </bottom>
      <diagonal/>
    </border>
  </borders>
  <cellStyleXfs count="1">
    <xf numFmtId="0" fontId="0" fillId="0" borderId="0"/>
  </cellStyleXfs>
  <cellXfs count="98">
    <xf numFmtId="0" fontId="0" fillId="0" borderId="0" xfId="0"/>
    <xf numFmtId="0" fontId="1" fillId="2" borderId="0" xfId="0" applyFont="1" applyFill="1"/>
    <xf numFmtId="0" fontId="1" fillId="2" borderId="9" xfId="0" applyFont="1" applyFill="1" applyBorder="1"/>
    <xf numFmtId="0" fontId="1" fillId="2" borderId="10" xfId="0" applyFont="1" applyFill="1" applyBorder="1"/>
    <xf numFmtId="0" fontId="8" fillId="0" borderId="0" xfId="0" applyFont="1"/>
    <xf numFmtId="0" fontId="8" fillId="0" borderId="0" xfId="0" applyFont="1" applyAlignment="1">
      <alignment horizontal="left"/>
    </xf>
    <xf numFmtId="0" fontId="9" fillId="3" borderId="0" xfId="0" applyFont="1" applyFill="1"/>
    <xf numFmtId="0" fontId="9" fillId="3" borderId="0" xfId="0" applyFont="1" applyFill="1" applyAlignment="1">
      <alignment horizontal="left"/>
    </xf>
    <xf numFmtId="0" fontId="10" fillId="2" borderId="0" xfId="0" applyFont="1" applyFill="1"/>
    <xf numFmtId="0" fontId="10" fillId="2" borderId="0" xfId="0" applyFont="1" applyFill="1" applyAlignment="1">
      <alignment horizontal="center"/>
    </xf>
    <xf numFmtId="0" fontId="11" fillId="0" borderId="0" xfId="0" applyFont="1"/>
    <xf numFmtId="0" fontId="12" fillId="0" borderId="0" xfId="0" applyFont="1"/>
    <xf numFmtId="0" fontId="12" fillId="0" borderId="0" xfId="0" applyFont="1" applyAlignment="1">
      <alignment horizontal="left"/>
    </xf>
    <xf numFmtId="0" fontId="13" fillId="4" borderId="0" xfId="0" applyFont="1" applyFill="1"/>
    <xf numFmtId="0" fontId="13" fillId="4" borderId="0" xfId="0" applyFont="1" applyFill="1" applyAlignment="1">
      <alignment horizontal="center"/>
    </xf>
    <xf numFmtId="164" fontId="13" fillId="4" borderId="0" xfId="0" applyNumberFormat="1" applyFont="1" applyFill="1" applyAlignment="1">
      <alignment horizontal="center"/>
    </xf>
    <xf numFmtId="0" fontId="11" fillId="0" borderId="0" xfId="0" applyFont="1" applyAlignment="1">
      <alignment horizontal="center"/>
    </xf>
    <xf numFmtId="165" fontId="11" fillId="0" borderId="0" xfId="0" applyNumberFormat="1" applyFont="1" applyAlignment="1">
      <alignment horizontal="center"/>
    </xf>
    <xf numFmtId="0" fontId="11" fillId="5" borderId="0" xfId="0" applyFont="1" applyFill="1"/>
    <xf numFmtId="0" fontId="11" fillId="5" borderId="0" xfId="0" applyFont="1" applyFill="1" applyAlignment="1">
      <alignment horizontal="center"/>
    </xf>
    <xf numFmtId="9" fontId="11" fillId="5" borderId="0" xfId="0" applyNumberFormat="1" applyFont="1" applyFill="1" applyAlignment="1">
      <alignment horizontal="center"/>
    </xf>
    <xf numFmtId="0" fontId="11" fillId="6" borderId="0" xfId="0" applyFont="1" applyFill="1"/>
    <xf numFmtId="0" fontId="11" fillId="6" borderId="0" xfId="0" applyFont="1" applyFill="1" applyAlignment="1">
      <alignment horizontal="center"/>
    </xf>
    <xf numFmtId="0" fontId="11" fillId="7" borderId="0" xfId="0" applyFont="1" applyFill="1"/>
    <xf numFmtId="0" fontId="11" fillId="7" borderId="0" xfId="0" applyFont="1" applyFill="1" applyAlignment="1">
      <alignment horizontal="center"/>
    </xf>
    <xf numFmtId="0" fontId="11" fillId="8" borderId="0" xfId="0" applyFont="1" applyFill="1"/>
    <xf numFmtId="0" fontId="11" fillId="8" borderId="0" xfId="0" applyFont="1" applyFill="1" applyAlignment="1">
      <alignment horizontal="center"/>
    </xf>
    <xf numFmtId="0" fontId="14" fillId="0" borderId="0" xfId="0" applyFont="1" applyAlignment="1">
      <alignment horizontal="left"/>
    </xf>
    <xf numFmtId="0" fontId="12" fillId="3" borderId="0" xfId="0" applyFont="1" applyFill="1" applyAlignment="1">
      <alignment horizontal="left"/>
    </xf>
    <xf numFmtId="0" fontId="12" fillId="0" borderId="0" xfId="0" applyFont="1" applyAlignment="1">
      <alignment horizontal="center"/>
    </xf>
    <xf numFmtId="164" fontId="11" fillId="0" borderId="0" xfId="0" applyNumberFormat="1" applyFont="1" applyAlignment="1">
      <alignment horizontal="center"/>
    </xf>
    <xf numFmtId="0" fontId="11" fillId="9" borderId="0" xfId="0" applyFont="1" applyFill="1"/>
    <xf numFmtId="0" fontId="15" fillId="9" borderId="0" xfId="0" applyFont="1" applyFill="1"/>
    <xf numFmtId="0" fontId="4" fillId="9" borderId="0" xfId="0" applyFont="1" applyFill="1"/>
    <xf numFmtId="0" fontId="9" fillId="5" borderId="0" xfId="0" applyFont="1" applyFill="1"/>
    <xf numFmtId="0" fontId="11" fillId="3" borderId="0" xfId="0" applyFont="1" applyFill="1"/>
    <xf numFmtId="0" fontId="10" fillId="2" borderId="0" xfId="0" applyFont="1" applyFill="1" applyAlignment="1">
      <alignment horizontal="center" wrapText="1"/>
    </xf>
    <xf numFmtId="0" fontId="8" fillId="0" borderId="0" xfId="0" applyFont="1" applyAlignment="1">
      <alignment horizontal="center"/>
    </xf>
    <xf numFmtId="166" fontId="8" fillId="0" borderId="0" xfId="0" applyNumberFormat="1" applyFont="1" applyAlignment="1">
      <alignment horizontal="center"/>
    </xf>
    <xf numFmtId="0" fontId="16" fillId="0" borderId="0" xfId="0" applyFont="1" applyAlignment="1">
      <alignment horizontal="center"/>
    </xf>
    <xf numFmtId="166" fontId="17" fillId="0" borderId="0" xfId="0" applyNumberFormat="1" applyFont="1" applyAlignment="1">
      <alignment horizontal="center"/>
    </xf>
    <xf numFmtId="166" fontId="16" fillId="0" borderId="0" xfId="0" applyNumberFormat="1" applyFont="1" applyAlignment="1">
      <alignment horizontal="center"/>
    </xf>
    <xf numFmtId="0" fontId="16" fillId="10" borderId="0" xfId="0" applyFont="1" applyFill="1" applyAlignment="1">
      <alignment horizontal="center"/>
    </xf>
    <xf numFmtId="166" fontId="17" fillId="10" borderId="0" xfId="0" applyNumberFormat="1" applyFont="1" applyFill="1" applyAlignment="1">
      <alignment horizontal="center"/>
    </xf>
    <xf numFmtId="166" fontId="16" fillId="10" borderId="0" xfId="0" applyNumberFormat="1" applyFont="1" applyFill="1" applyAlignment="1">
      <alignment horizontal="center"/>
    </xf>
    <xf numFmtId="0" fontId="10" fillId="2" borderId="0" xfId="0" applyFont="1" applyFill="1" applyAlignment="1">
      <alignment horizontal="left"/>
    </xf>
    <xf numFmtId="167" fontId="10" fillId="2" borderId="0" xfId="0" applyNumberFormat="1" applyFont="1" applyFill="1" applyAlignment="1">
      <alignment horizontal="center"/>
    </xf>
    <xf numFmtId="166" fontId="10" fillId="2" borderId="0" xfId="0" applyNumberFormat="1" applyFont="1" applyFill="1" applyAlignment="1">
      <alignment horizontal="center"/>
    </xf>
    <xf numFmtId="166" fontId="11" fillId="0" borderId="0" xfId="0" applyNumberFormat="1" applyFont="1" applyAlignment="1">
      <alignment horizontal="center"/>
    </xf>
    <xf numFmtId="166" fontId="12" fillId="0" borderId="0" xfId="0" applyNumberFormat="1" applyFont="1" applyAlignment="1">
      <alignment horizontal="center"/>
    </xf>
    <xf numFmtId="0" fontId="11" fillId="11" borderId="0" xfId="0" applyFont="1" applyFill="1"/>
    <xf numFmtId="0" fontId="15" fillId="11" borderId="0" xfId="0" applyFont="1" applyFill="1"/>
    <xf numFmtId="0" fontId="4" fillId="11" borderId="0" xfId="0" applyFont="1" applyFill="1"/>
    <xf numFmtId="0" fontId="9" fillId="6" borderId="0" xfId="0" applyFont="1" applyFill="1"/>
    <xf numFmtId="0" fontId="11" fillId="10" borderId="0" xfId="0" applyFont="1" applyFill="1" applyAlignment="1">
      <alignment horizontal="center"/>
    </xf>
    <xf numFmtId="166" fontId="11" fillId="10" borderId="0" xfId="0" applyNumberFormat="1" applyFont="1" applyFill="1" applyAlignment="1">
      <alignment horizontal="center"/>
    </xf>
    <xf numFmtId="0" fontId="15" fillId="12" borderId="0" xfId="0" applyFont="1" applyFill="1"/>
    <xf numFmtId="0" fontId="4" fillId="12" borderId="0" xfId="0" applyFont="1" applyFill="1"/>
    <xf numFmtId="0" fontId="11" fillId="12" borderId="0" xfId="0" applyFont="1" applyFill="1"/>
    <xf numFmtId="0" fontId="9" fillId="7" borderId="0" xfId="0" applyFont="1" applyFill="1"/>
    <xf numFmtId="164" fontId="8" fillId="0" borderId="0" xfId="0" applyNumberFormat="1" applyFont="1" applyAlignment="1">
      <alignment horizontal="center"/>
    </xf>
    <xf numFmtId="3" fontId="10" fillId="2" borderId="0" xfId="0" applyNumberFormat="1" applyFont="1" applyFill="1" applyAlignment="1">
      <alignment horizontal="center"/>
    </xf>
    <xf numFmtId="0" fontId="11" fillId="13" borderId="0" xfId="0" applyFont="1" applyFill="1"/>
    <xf numFmtId="0" fontId="9" fillId="8" borderId="0" xfId="0" applyFont="1" applyFill="1"/>
    <xf numFmtId="165" fontId="8" fillId="0" borderId="0" xfId="0" applyNumberFormat="1" applyFont="1" applyAlignment="1">
      <alignment horizontal="center"/>
    </xf>
    <xf numFmtId="165" fontId="11" fillId="10" borderId="0" xfId="0" applyNumberFormat="1" applyFont="1" applyFill="1" applyAlignment="1">
      <alignment horizontal="center"/>
    </xf>
    <xf numFmtId="3" fontId="11" fillId="0" borderId="0" xfId="0" applyNumberFormat="1" applyFont="1" applyAlignment="1">
      <alignment horizontal="center"/>
    </xf>
    <xf numFmtId="0" fontId="12" fillId="0" borderId="0" xfId="0" applyFont="1" applyAlignment="1">
      <alignment horizontal="right"/>
    </xf>
    <xf numFmtId="166" fontId="17" fillId="0" borderId="0" xfId="0" applyNumberFormat="1" applyFont="1"/>
    <xf numFmtId="166" fontId="11" fillId="0" borderId="0" xfId="0" applyNumberFormat="1" applyFont="1"/>
    <xf numFmtId="0" fontId="12" fillId="5" borderId="0" xfId="0" applyFont="1" applyFill="1" applyAlignment="1">
      <alignment horizontal="center"/>
    </xf>
    <xf numFmtId="0" fontId="12" fillId="6" borderId="0" xfId="0" applyFont="1" applyFill="1" applyAlignment="1">
      <alignment horizontal="center"/>
    </xf>
    <xf numFmtId="0" fontId="12" fillId="7" borderId="0" xfId="0" applyFont="1" applyFill="1" applyAlignment="1">
      <alignment horizontal="center"/>
    </xf>
    <xf numFmtId="0" fontId="12" fillId="8" borderId="0" xfId="0" applyFont="1" applyFill="1" applyAlignment="1">
      <alignment horizontal="center"/>
    </xf>
    <xf numFmtId="0" fontId="18" fillId="14" borderId="0" xfId="0" applyFont="1" applyFill="1"/>
    <xf numFmtId="0" fontId="18" fillId="14" borderId="0" xfId="0" applyFont="1" applyFill="1" applyAlignment="1">
      <alignment horizontal="center"/>
    </xf>
    <xf numFmtId="0" fontId="17" fillId="14" borderId="0" xfId="0" applyFont="1" applyFill="1"/>
    <xf numFmtId="166" fontId="18" fillId="14" borderId="0" xfId="0" applyNumberFormat="1" applyFont="1" applyFill="1" applyAlignment="1">
      <alignment horizontal="center"/>
    </xf>
    <xf numFmtId="0" fontId="19" fillId="15" borderId="0" xfId="0" applyFont="1" applyFill="1"/>
    <xf numFmtId="0" fontId="11" fillId="15" borderId="0" xfId="0" applyFont="1" applyFill="1"/>
    <xf numFmtId="3" fontId="17" fillId="0" borderId="0" xfId="0" applyNumberFormat="1" applyFont="1" applyAlignment="1">
      <alignment horizontal="center"/>
    </xf>
    <xf numFmtId="0" fontId="14" fillId="16" borderId="0" xfId="0" applyFont="1" applyFill="1"/>
    <xf numFmtId="0" fontId="20" fillId="16" borderId="0" xfId="0" applyFont="1" applyFill="1"/>
    <xf numFmtId="0" fontId="5" fillId="2" borderId="0" xfId="0" applyFont="1" applyFill="1" applyAlignment="1">
      <alignment horizontal="center"/>
    </xf>
    <xf numFmtId="0" fontId="4" fillId="2" borderId="0" xfId="0" applyFont="1" applyFill="1" applyAlignment="1">
      <alignment horizontal="center" wrapText="1"/>
    </xf>
    <xf numFmtId="0" fontId="6" fillId="2" borderId="0" xfId="0" applyFont="1" applyFill="1" applyAlignment="1">
      <alignment horizontal="center"/>
    </xf>
    <xf numFmtId="0" fontId="3" fillId="2" borderId="0" xfId="0" applyFont="1" applyFill="1" applyAlignment="1">
      <alignment horizontal="center"/>
    </xf>
    <xf numFmtId="0" fontId="4" fillId="2" borderId="0" xfId="0" applyFont="1" applyFill="1" applyAlignment="1">
      <alignment horizontal="center" vertical="center" wrapText="1"/>
    </xf>
    <xf numFmtId="0" fontId="0" fillId="0" borderId="0" xfId="0"/>
    <xf numFmtId="0" fontId="7" fillId="2" borderId="3" xfId="0" applyFont="1" applyFill="1" applyBorder="1" applyAlignment="1">
      <alignment horizontal="center" vertical="center"/>
    </xf>
    <xf numFmtId="0" fontId="7" fillId="2" borderId="1" xfId="0" applyFont="1" applyFill="1" applyBorder="1" applyAlignment="1">
      <alignment horizontal="center" vertical="center"/>
    </xf>
    <xf numFmtId="0" fontId="7" fillId="2" borderId="6" xfId="0" applyFont="1" applyFill="1" applyBorder="1" applyAlignment="1">
      <alignment horizontal="center" vertical="center"/>
    </xf>
    <xf numFmtId="0" fontId="0" fillId="0" borderId="4" xfId="0" applyBorder="1"/>
    <xf numFmtId="0" fontId="0" fillId="0" borderId="7" xfId="0" applyBorder="1"/>
    <xf numFmtId="0" fontId="0" fillId="0" borderId="5" xfId="0" applyBorder="1"/>
    <xf numFmtId="0" fontId="0" fillId="0" borderId="2" xfId="0" applyBorder="1"/>
    <xf numFmtId="0" fontId="0" fillId="0" borderId="8" xfId="0" applyBorder="1"/>
    <xf numFmtId="0" fontId="2"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Max Commission per Client — Department Plan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O"/>
        </a:p>
      </c:txPr>
    </c:title>
    <c:autoTitleDeleted val="0"/>
    <c:plotArea>
      <c:layout/>
      <c:barChart>
        <c:barDir val="bar"/>
        <c:grouping val="clustered"/>
        <c:varyColors val="0"/>
        <c:ser>
          <c:idx val="0"/>
          <c:order val="0"/>
          <c:tx>
            <c:strRef>
              <c:f>'📋 PRICING REFERENCE'!$C$22</c:f>
              <c:strCache>
                <c:ptCount val="1"/>
                <c:pt idx="0">
                  <c:v>Max Commission ($)</c:v>
                </c:pt>
              </c:strCache>
            </c:strRef>
          </c:tx>
          <c:spPr>
            <a:solidFill>
              <a:schemeClr val="accent1"/>
            </a:solidFill>
            <a:ln>
              <a:noFill/>
            </a:ln>
            <a:effectLst/>
          </c:spPr>
          <c:invertIfNegative val="0"/>
          <c:cat>
            <c:strRef>
              <c:f>'📋 PRICING REFERENCE'!$B$23:$B$28</c:f>
              <c:strCache>
                <c:ptCount val="6"/>
                <c:pt idx="0">
                  <c:v>A</c:v>
                </c:pt>
                <c:pt idx="1">
                  <c:v>B</c:v>
                </c:pt>
                <c:pt idx="2">
                  <c:v>C</c:v>
                </c:pt>
                <c:pt idx="3">
                  <c:v>D1</c:v>
                </c:pt>
                <c:pt idx="4">
                  <c:v>D2</c:v>
                </c:pt>
                <c:pt idx="5">
                  <c:v>D3</c:v>
                </c:pt>
              </c:strCache>
            </c:strRef>
          </c:cat>
          <c:val>
            <c:numRef>
              <c:f>'📋 PRICING REFERENCE'!$C$23:$C$28</c:f>
              <c:numCache>
                <c:formatCode>"$"#,##0.00</c:formatCode>
                <c:ptCount val="6"/>
                <c:pt idx="0">
                  <c:v>699</c:v>
                </c:pt>
                <c:pt idx="1">
                  <c:v>1048.5</c:v>
                </c:pt>
                <c:pt idx="2">
                  <c:v>1257.3</c:v>
                </c:pt>
                <c:pt idx="3">
                  <c:v>838.8</c:v>
                </c:pt>
                <c:pt idx="4">
                  <c:v>1006.56</c:v>
                </c:pt>
                <c:pt idx="5">
                  <c:v>1060.2</c:v>
                </c:pt>
              </c:numCache>
            </c:numRef>
          </c:val>
          <c:extLst>
            <c:ext xmlns:c16="http://schemas.microsoft.com/office/drawing/2014/chart" uri="{C3380CC4-5D6E-409C-BE32-E72D297353CC}">
              <c16:uniqueId val="{00000000-31E3-4F46-9AD6-8A9CDEC51187}"/>
            </c:ext>
          </c:extLst>
        </c:ser>
        <c:dLbls>
          <c:showLegendKey val="0"/>
          <c:showVal val="0"/>
          <c:showCatName val="0"/>
          <c:showSerName val="0"/>
          <c:showPercent val="0"/>
          <c:showBubbleSize val="0"/>
        </c:dLbls>
        <c:gapWidth val="182"/>
        <c:axId val="678640512"/>
        <c:axId val="661497472"/>
      </c:barChart>
      <c:catAx>
        <c:axId val="678640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661497472"/>
        <c:crosses val="autoZero"/>
        <c:auto val="1"/>
        <c:lblAlgn val="ctr"/>
        <c:lblOffset val="100"/>
        <c:noMultiLvlLbl val="0"/>
      </c:catAx>
      <c:valAx>
        <c:axId val="66149747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678640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Modality A — Monthly Payout Schedule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O"/>
        </a:p>
      </c:txPr>
    </c:title>
    <c:autoTitleDeleted val="0"/>
    <c:plotArea>
      <c:layout/>
      <c:barChart>
        <c:barDir val="col"/>
        <c:grouping val="clustered"/>
        <c:varyColors val="0"/>
        <c:ser>
          <c:idx val="0"/>
          <c:order val="0"/>
          <c:tx>
            <c:strRef>
              <c:f>'💰 MODALITY A'!$A$45</c:f>
              <c:strCache>
                <c:ptCount val="1"/>
                <c:pt idx="0">
                  <c:v>All Clients</c:v>
                </c:pt>
              </c:strCache>
            </c:strRef>
          </c:tx>
          <c:spPr>
            <a:solidFill>
              <a:schemeClr val="accent1"/>
            </a:solidFill>
            <a:ln>
              <a:noFill/>
            </a:ln>
            <a:effectLst/>
          </c:spPr>
          <c:invertIfNegative val="0"/>
          <c:cat>
            <c:strRef>
              <c:f>'💰 MODALITY A'!$B$44:$M$44</c:f>
              <c:strCache>
                <c:ptCount val="12"/>
                <c:pt idx="0">
                  <c:v>Mo 1</c:v>
                </c:pt>
                <c:pt idx="1">
                  <c:v>Mo 2</c:v>
                </c:pt>
                <c:pt idx="2">
                  <c:v>Mo 3</c:v>
                </c:pt>
                <c:pt idx="3">
                  <c:v>Mo 4</c:v>
                </c:pt>
                <c:pt idx="4">
                  <c:v>Mo 5</c:v>
                </c:pt>
                <c:pt idx="5">
                  <c:v>Mo 6</c:v>
                </c:pt>
                <c:pt idx="6">
                  <c:v>Mo 7</c:v>
                </c:pt>
                <c:pt idx="7">
                  <c:v>Mo 8</c:v>
                </c:pt>
                <c:pt idx="8">
                  <c:v>Mo 9</c:v>
                </c:pt>
                <c:pt idx="9">
                  <c:v>Mo 10</c:v>
                </c:pt>
                <c:pt idx="10">
                  <c:v>Mo 11</c:v>
                </c:pt>
                <c:pt idx="11">
                  <c:v>Mo 12</c:v>
                </c:pt>
              </c:strCache>
            </c:strRef>
          </c:cat>
          <c:val>
            <c:numRef>
              <c:f>'💰 MODALITY A'!$B$45:$M$45</c:f>
              <c:numCache>
                <c:formatCode>"$"#,##0.00;\("$"#,##0.00\);"-"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A5E0-B245-856E-FDE3E6849BF4}"/>
            </c:ext>
          </c:extLst>
        </c:ser>
        <c:dLbls>
          <c:showLegendKey val="0"/>
          <c:showVal val="0"/>
          <c:showCatName val="0"/>
          <c:showSerName val="0"/>
          <c:showPercent val="0"/>
          <c:showBubbleSize val="0"/>
        </c:dLbls>
        <c:gapWidth val="219"/>
        <c:overlap val="-27"/>
        <c:axId val="675523072"/>
        <c:axId val="661516096"/>
      </c:barChart>
      <c:catAx>
        <c:axId val="67552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661516096"/>
        <c:crosses val="autoZero"/>
        <c:auto val="1"/>
        <c:lblAlgn val="ctr"/>
        <c:lblOffset val="100"/>
        <c:noMultiLvlLbl val="0"/>
      </c:catAx>
      <c:valAx>
        <c:axId val="6615160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quot;#,##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67552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Modality B — Monthly Payout Schedule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O"/>
        </a:p>
      </c:txPr>
    </c:title>
    <c:autoTitleDeleted val="0"/>
    <c:plotArea>
      <c:layout/>
      <c:barChart>
        <c:barDir val="col"/>
        <c:grouping val="clustered"/>
        <c:varyColors val="0"/>
        <c:ser>
          <c:idx val="0"/>
          <c:order val="0"/>
          <c:tx>
            <c:strRef>
              <c:f>'💰 MODALITY B'!$A$46</c:f>
              <c:strCache>
                <c:ptCount val="1"/>
                <c:pt idx="0">
                  <c:v>All Clients</c:v>
                </c:pt>
              </c:strCache>
            </c:strRef>
          </c:tx>
          <c:spPr>
            <a:solidFill>
              <a:schemeClr val="accent1"/>
            </a:solidFill>
            <a:ln>
              <a:noFill/>
            </a:ln>
            <a:effectLst/>
          </c:spPr>
          <c:invertIfNegative val="0"/>
          <c:cat>
            <c:strRef>
              <c:f>'💰 MODALITY B'!$B$45:$M$45</c:f>
              <c:strCache>
                <c:ptCount val="12"/>
                <c:pt idx="0">
                  <c:v>Mo 1</c:v>
                </c:pt>
                <c:pt idx="1">
                  <c:v>Mo 2</c:v>
                </c:pt>
                <c:pt idx="2">
                  <c:v>Mo 3</c:v>
                </c:pt>
                <c:pt idx="3">
                  <c:v>Mo 4</c:v>
                </c:pt>
                <c:pt idx="4">
                  <c:v>Mo 5</c:v>
                </c:pt>
                <c:pt idx="5">
                  <c:v>Mo 6</c:v>
                </c:pt>
                <c:pt idx="6">
                  <c:v>Mo 7</c:v>
                </c:pt>
                <c:pt idx="7">
                  <c:v>Mo 8</c:v>
                </c:pt>
                <c:pt idx="8">
                  <c:v>Mo 9</c:v>
                </c:pt>
                <c:pt idx="9">
                  <c:v>Mo 10</c:v>
                </c:pt>
                <c:pt idx="10">
                  <c:v>Mo 11</c:v>
                </c:pt>
                <c:pt idx="11">
                  <c:v>Mo 12</c:v>
                </c:pt>
              </c:strCache>
            </c:strRef>
          </c:cat>
          <c:val>
            <c:numRef>
              <c:f>'💰 MODALITY B'!$B$46:$M$46</c:f>
              <c:numCache>
                <c:formatCode>"$"#,##0.00;\("$"#,##0.00\);"-"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3E0B-9740-9EC7-31DA52A5B027}"/>
            </c:ext>
          </c:extLst>
        </c:ser>
        <c:dLbls>
          <c:showLegendKey val="0"/>
          <c:showVal val="0"/>
          <c:showCatName val="0"/>
          <c:showSerName val="0"/>
          <c:showPercent val="0"/>
          <c:showBubbleSize val="0"/>
        </c:dLbls>
        <c:gapWidth val="219"/>
        <c:overlap val="-27"/>
        <c:axId val="800739712"/>
        <c:axId val="800741504"/>
      </c:barChart>
      <c:catAx>
        <c:axId val="80073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800741504"/>
        <c:crosses val="autoZero"/>
        <c:auto val="1"/>
        <c:lblAlgn val="ctr"/>
        <c:lblOffset val="100"/>
        <c:noMultiLvlLbl val="0"/>
      </c:catAx>
      <c:valAx>
        <c:axId val="8007415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quot;#,##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800739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Modality C — Monthly Payout Schedule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O"/>
        </a:p>
      </c:txPr>
    </c:title>
    <c:autoTitleDeleted val="0"/>
    <c:plotArea>
      <c:layout/>
      <c:barChart>
        <c:barDir val="col"/>
        <c:grouping val="clustered"/>
        <c:varyColors val="0"/>
        <c:ser>
          <c:idx val="0"/>
          <c:order val="0"/>
          <c:tx>
            <c:strRef>
              <c:f>'💰 MODALITY C'!$A$46</c:f>
              <c:strCache>
                <c:ptCount val="1"/>
                <c:pt idx="0">
                  <c:v>All Clients</c:v>
                </c:pt>
              </c:strCache>
            </c:strRef>
          </c:tx>
          <c:spPr>
            <a:solidFill>
              <a:schemeClr val="accent1"/>
            </a:solidFill>
            <a:ln>
              <a:noFill/>
            </a:ln>
            <a:effectLst/>
          </c:spPr>
          <c:invertIfNegative val="0"/>
          <c:cat>
            <c:strRef>
              <c:f>'💰 MODALITY C'!$B$45:$M$45</c:f>
              <c:strCache>
                <c:ptCount val="12"/>
                <c:pt idx="0">
                  <c:v>Mo 1</c:v>
                </c:pt>
                <c:pt idx="1">
                  <c:v>Mo 2</c:v>
                </c:pt>
                <c:pt idx="2">
                  <c:v>Mo 3</c:v>
                </c:pt>
                <c:pt idx="3">
                  <c:v>Mo 4</c:v>
                </c:pt>
                <c:pt idx="4">
                  <c:v>Mo 5</c:v>
                </c:pt>
                <c:pt idx="5">
                  <c:v>Mo 6</c:v>
                </c:pt>
                <c:pt idx="6">
                  <c:v>Mo 7</c:v>
                </c:pt>
                <c:pt idx="7">
                  <c:v>Mo 8</c:v>
                </c:pt>
                <c:pt idx="8">
                  <c:v>Mo 9</c:v>
                </c:pt>
                <c:pt idx="9">
                  <c:v>Mo 10</c:v>
                </c:pt>
                <c:pt idx="10">
                  <c:v>Mo 11</c:v>
                </c:pt>
                <c:pt idx="11">
                  <c:v>Mo 12</c:v>
                </c:pt>
              </c:strCache>
            </c:strRef>
          </c:cat>
          <c:val>
            <c:numRef>
              <c:f>'💰 MODALITY C'!$B$46:$M$46</c:f>
              <c:numCache>
                <c:formatCode>"$"#,##0.00;\("$"#,##0.00\);"-"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FD62-0240-9383-C38E0DCA77A2}"/>
            </c:ext>
          </c:extLst>
        </c:ser>
        <c:dLbls>
          <c:showLegendKey val="0"/>
          <c:showVal val="0"/>
          <c:showCatName val="0"/>
          <c:showSerName val="0"/>
          <c:showPercent val="0"/>
          <c:showBubbleSize val="0"/>
        </c:dLbls>
        <c:gapWidth val="219"/>
        <c:overlap val="-27"/>
        <c:axId val="800542656"/>
        <c:axId val="800552064"/>
      </c:barChart>
      <c:catAx>
        <c:axId val="80054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800552064"/>
        <c:crosses val="autoZero"/>
        <c:auto val="1"/>
        <c:lblAlgn val="ctr"/>
        <c:lblOffset val="100"/>
        <c:noMultiLvlLbl val="0"/>
      </c:catAx>
      <c:valAx>
        <c:axId val="8005520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quot;#,##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80054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Portfolio Earnings by Modality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O"/>
        </a:p>
      </c:txPr>
    </c:title>
    <c:autoTitleDeleted val="0"/>
    <c:plotArea>
      <c:layout/>
      <c:barChart>
        <c:barDir val="bar"/>
        <c:grouping val="clustered"/>
        <c:varyColors val="0"/>
        <c:ser>
          <c:idx val="0"/>
          <c:order val="0"/>
          <c:tx>
            <c:strRef>
              <c:f>'📊 SCENARIO COMPARISON'!$D$31</c:f>
              <c:strCache>
                <c:ptCount val="1"/>
                <c:pt idx="0">
                  <c:v>Total Clients</c:v>
                </c:pt>
              </c:strCache>
            </c:strRef>
          </c:tx>
          <c:spPr>
            <a:solidFill>
              <a:schemeClr val="accent1"/>
            </a:solidFill>
            <a:ln>
              <a:noFill/>
            </a:ln>
            <a:effectLst/>
          </c:spPr>
          <c:invertIfNegative val="0"/>
          <c:cat>
            <c:multiLvlStrRef>
              <c:f>'📊 SCENARIO COMPARISON'!$B$32:$C$35</c:f>
              <c:multiLvlStrCache>
                <c:ptCount val="4"/>
                <c:lvl>
                  <c:pt idx="0">
                    <c:v>Modality A tab</c:v>
                  </c:pt>
                  <c:pt idx="1">
                    <c:v>Modality B tab</c:v>
                  </c:pt>
                  <c:pt idx="2">
                    <c:v>Modality C tab</c:v>
                  </c:pt>
                  <c:pt idx="3">
                    <c:v>Modality D tab</c:v>
                  </c:pt>
                </c:lvl>
                <c:lvl>
                  <c:pt idx="0">
                    <c:v>A</c:v>
                  </c:pt>
                  <c:pt idx="1">
                    <c:v>B</c:v>
                  </c:pt>
                  <c:pt idx="2">
                    <c:v>C</c:v>
                  </c:pt>
                  <c:pt idx="3">
                    <c:v>D (all)</c:v>
                  </c:pt>
                </c:lvl>
              </c:multiLvlStrCache>
            </c:multiLvlStrRef>
          </c:cat>
          <c:val>
            <c:numRef>
              <c:f>'📊 SCENARIO COMPARISON'!$D$32:$D$35</c:f>
              <c:numCache>
                <c:formatCode>#,##0</c:formatCode>
                <c:ptCount val="4"/>
                <c:pt idx="0">
                  <c:v>0</c:v>
                </c:pt>
                <c:pt idx="1">
                  <c:v>0</c:v>
                </c:pt>
                <c:pt idx="2">
                  <c:v>0</c:v>
                </c:pt>
                <c:pt idx="3">
                  <c:v>0</c:v>
                </c:pt>
              </c:numCache>
            </c:numRef>
          </c:val>
          <c:extLst>
            <c:ext xmlns:c16="http://schemas.microsoft.com/office/drawing/2014/chart" uri="{C3380CC4-5D6E-409C-BE32-E72D297353CC}">
              <c16:uniqueId val="{00000000-2594-B246-AE24-8C52E8E42359}"/>
            </c:ext>
          </c:extLst>
        </c:ser>
        <c:ser>
          <c:idx val="1"/>
          <c:order val="1"/>
          <c:tx>
            <c:strRef>
              <c:f>'📊 SCENARIO COMPARISON'!$E$31</c:f>
              <c:strCache>
                <c:ptCount val="1"/>
                <c:pt idx="0">
                  <c:v>Total Commission</c:v>
                </c:pt>
              </c:strCache>
            </c:strRef>
          </c:tx>
          <c:spPr>
            <a:solidFill>
              <a:schemeClr val="accent2"/>
            </a:solidFill>
            <a:ln>
              <a:noFill/>
            </a:ln>
            <a:effectLst/>
          </c:spPr>
          <c:invertIfNegative val="0"/>
          <c:cat>
            <c:multiLvlStrRef>
              <c:f>'📊 SCENARIO COMPARISON'!$B$32:$C$35</c:f>
              <c:multiLvlStrCache>
                <c:ptCount val="4"/>
                <c:lvl>
                  <c:pt idx="0">
                    <c:v>Modality A tab</c:v>
                  </c:pt>
                  <c:pt idx="1">
                    <c:v>Modality B tab</c:v>
                  </c:pt>
                  <c:pt idx="2">
                    <c:v>Modality C tab</c:v>
                  </c:pt>
                  <c:pt idx="3">
                    <c:v>Modality D tab</c:v>
                  </c:pt>
                </c:lvl>
                <c:lvl>
                  <c:pt idx="0">
                    <c:v>A</c:v>
                  </c:pt>
                  <c:pt idx="1">
                    <c:v>B</c:v>
                  </c:pt>
                  <c:pt idx="2">
                    <c:v>C</c:v>
                  </c:pt>
                  <c:pt idx="3">
                    <c:v>D (all)</c:v>
                  </c:pt>
                </c:lvl>
              </c:multiLvlStrCache>
            </c:multiLvlStrRef>
          </c:cat>
          <c:val>
            <c:numRef>
              <c:f>'📊 SCENARIO COMPARISON'!$E$32:$E$35</c:f>
              <c:numCache>
                <c:formatCode>"$"#,##0.00;\("$"#,##0.00\);"-"</c:formatCode>
                <c:ptCount val="4"/>
                <c:pt idx="0">
                  <c:v>0</c:v>
                </c:pt>
                <c:pt idx="1">
                  <c:v>0</c:v>
                </c:pt>
                <c:pt idx="2">
                  <c:v>0</c:v>
                </c:pt>
                <c:pt idx="3">
                  <c:v>0</c:v>
                </c:pt>
              </c:numCache>
            </c:numRef>
          </c:val>
          <c:extLst>
            <c:ext xmlns:c16="http://schemas.microsoft.com/office/drawing/2014/chart" uri="{C3380CC4-5D6E-409C-BE32-E72D297353CC}">
              <c16:uniqueId val="{00000001-2594-B246-AE24-8C52E8E42359}"/>
            </c:ext>
          </c:extLst>
        </c:ser>
        <c:dLbls>
          <c:showLegendKey val="0"/>
          <c:showVal val="0"/>
          <c:showCatName val="0"/>
          <c:showSerName val="0"/>
          <c:showPercent val="0"/>
          <c:showBubbleSize val="0"/>
        </c:dLbls>
        <c:gapWidth val="182"/>
        <c:axId val="1359929664"/>
        <c:axId val="1360233792"/>
      </c:barChart>
      <c:catAx>
        <c:axId val="13599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360233792"/>
        <c:crosses val="autoZero"/>
        <c:auto val="1"/>
        <c:lblAlgn val="ctr"/>
        <c:lblOffset val="100"/>
        <c:noMultiLvlLbl val="0"/>
      </c:catAx>
      <c:valAx>
        <c:axId val="13602337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3599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Commission Payout Profile — Single Client Example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O"/>
        </a:p>
      </c:txPr>
    </c:title>
    <c:autoTitleDeleted val="0"/>
    <c:plotArea>
      <c:layout/>
      <c:lineChart>
        <c:grouping val="standard"/>
        <c:varyColors val="0"/>
        <c:ser>
          <c:idx val="0"/>
          <c:order val="0"/>
          <c:tx>
            <c:strRef>
              <c:f>'📊 SCENARIO COMPARISON'!$B$57</c:f>
              <c:strCache>
                <c:ptCount val="1"/>
                <c:pt idx="0">
                  <c:v>Month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 SCENARIO COMPARISON'!$C$57:$N$57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val>
          <c:smooth val="0"/>
          <c:extLst>
            <c:ext xmlns:c16="http://schemas.microsoft.com/office/drawing/2014/chart" uri="{C3380CC4-5D6E-409C-BE32-E72D297353CC}">
              <c16:uniqueId val="{00000000-A0C3-3247-93E1-20A9F61BA36B}"/>
            </c:ext>
          </c:extLst>
        </c:ser>
        <c:ser>
          <c:idx val="1"/>
          <c:order val="1"/>
          <c:tx>
            <c:strRef>
              <c:f>'📊 SCENARIO COMPARISON'!$B$58</c:f>
              <c:strCache>
                <c:ptCount val="1"/>
                <c:pt idx="0">
                  <c:v>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 SCENARIO COMPARISON'!$C$58:$N$58</c:f>
              <c:numCache>
                <c:formatCode>"$"#,##0.00;\("$"#,##0.00\);"-"</c:formatCode>
                <c:ptCount val="12"/>
                <c:pt idx="0">
                  <c:v>699</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A0C3-3247-93E1-20A9F61BA36B}"/>
            </c:ext>
          </c:extLst>
        </c:ser>
        <c:ser>
          <c:idx val="2"/>
          <c:order val="2"/>
          <c:tx>
            <c:strRef>
              <c:f>'📊 SCENARIO COMPARISON'!$B$59</c:f>
              <c:strCache>
                <c:ptCount val="1"/>
                <c:pt idx="0">
                  <c:v>B</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 SCENARIO COMPARISON'!$C$59:$N$59</c:f>
              <c:numCache>
                <c:formatCode>"$"#,##0.00;\("$"#,##0.00\);"-"</c:formatCode>
                <c:ptCount val="12"/>
                <c:pt idx="0">
                  <c:v>349.5</c:v>
                </c:pt>
                <c:pt idx="1">
                  <c:v>349.5</c:v>
                </c:pt>
                <c:pt idx="2">
                  <c:v>349.5</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A0C3-3247-93E1-20A9F61BA36B}"/>
            </c:ext>
          </c:extLst>
        </c:ser>
        <c:ser>
          <c:idx val="3"/>
          <c:order val="3"/>
          <c:tx>
            <c:strRef>
              <c:f>'📊 SCENARIO COMPARISON'!$B$60</c:f>
              <c:strCache>
                <c:ptCount val="1"/>
                <c:pt idx="0">
                  <c:v>C</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 SCENARIO COMPARISON'!$C$60:$N$60</c:f>
              <c:numCache>
                <c:formatCode>"$"#,##0.00;\("$"#,##0.00\);"-"</c:formatCode>
                <c:ptCount val="12"/>
                <c:pt idx="0">
                  <c:v>209.7</c:v>
                </c:pt>
                <c:pt idx="1">
                  <c:v>209.7</c:v>
                </c:pt>
                <c:pt idx="2">
                  <c:v>209.7</c:v>
                </c:pt>
                <c:pt idx="3">
                  <c:v>209.7</c:v>
                </c:pt>
                <c:pt idx="4">
                  <c:v>209.7</c:v>
                </c:pt>
                <c:pt idx="5">
                  <c:v>209.7</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A0C3-3247-93E1-20A9F61BA36B}"/>
            </c:ext>
          </c:extLst>
        </c:ser>
        <c:ser>
          <c:idx val="4"/>
          <c:order val="4"/>
          <c:tx>
            <c:strRef>
              <c:f>'📊 SCENARIO COMPARISON'!$B$61</c:f>
              <c:strCache>
                <c:ptCount val="1"/>
                <c:pt idx="0">
                  <c:v>D1</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 SCENARIO COMPARISON'!$C$61:$N$61</c:f>
              <c:numCache>
                <c:formatCode>"$"#,##0.00;\("$"#,##0.00\);"-"</c:formatCode>
                <c:ptCount val="12"/>
                <c:pt idx="0">
                  <c:v>69.900000000000006</c:v>
                </c:pt>
                <c:pt idx="1">
                  <c:v>69.900000000000006</c:v>
                </c:pt>
                <c:pt idx="2">
                  <c:v>69.900000000000006</c:v>
                </c:pt>
                <c:pt idx="3">
                  <c:v>69.900000000000006</c:v>
                </c:pt>
                <c:pt idx="4">
                  <c:v>69.900000000000006</c:v>
                </c:pt>
                <c:pt idx="5">
                  <c:v>69.900000000000006</c:v>
                </c:pt>
                <c:pt idx="6">
                  <c:v>69.900000000000006</c:v>
                </c:pt>
                <c:pt idx="7">
                  <c:v>69.900000000000006</c:v>
                </c:pt>
                <c:pt idx="8">
                  <c:v>69.900000000000006</c:v>
                </c:pt>
                <c:pt idx="9">
                  <c:v>69.900000000000006</c:v>
                </c:pt>
                <c:pt idx="10">
                  <c:v>69.900000000000006</c:v>
                </c:pt>
                <c:pt idx="11">
                  <c:v>69.900000000000006</c:v>
                </c:pt>
              </c:numCache>
            </c:numRef>
          </c:val>
          <c:smooth val="0"/>
          <c:extLst>
            <c:ext xmlns:c16="http://schemas.microsoft.com/office/drawing/2014/chart" uri="{C3380CC4-5D6E-409C-BE32-E72D297353CC}">
              <c16:uniqueId val="{00000004-A0C3-3247-93E1-20A9F61BA36B}"/>
            </c:ext>
          </c:extLst>
        </c:ser>
        <c:ser>
          <c:idx val="5"/>
          <c:order val="5"/>
          <c:tx>
            <c:strRef>
              <c:f>'📊 SCENARIO COMPARISON'!$B$62</c:f>
              <c:strCache>
                <c:ptCount val="1"/>
                <c:pt idx="0">
                  <c:v>D2</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val>
            <c:numRef>
              <c:f>'📊 SCENARIO COMPARISON'!$C$62:$N$62</c:f>
              <c:numCache>
                <c:formatCode>"$"#,##0.00;\("$"#,##0.00\);"-"</c:formatCode>
                <c:ptCount val="12"/>
                <c:pt idx="0">
                  <c:v>83.88</c:v>
                </c:pt>
                <c:pt idx="1">
                  <c:v>83.88</c:v>
                </c:pt>
                <c:pt idx="2">
                  <c:v>83.88</c:v>
                </c:pt>
                <c:pt idx="3">
                  <c:v>83.88</c:v>
                </c:pt>
                <c:pt idx="4">
                  <c:v>83.88</c:v>
                </c:pt>
                <c:pt idx="5">
                  <c:v>83.88</c:v>
                </c:pt>
                <c:pt idx="6">
                  <c:v>83.88</c:v>
                </c:pt>
                <c:pt idx="7">
                  <c:v>83.88</c:v>
                </c:pt>
                <c:pt idx="8">
                  <c:v>83.88</c:v>
                </c:pt>
                <c:pt idx="9">
                  <c:v>83.88</c:v>
                </c:pt>
                <c:pt idx="10">
                  <c:v>83.88</c:v>
                </c:pt>
                <c:pt idx="11">
                  <c:v>83.88</c:v>
                </c:pt>
              </c:numCache>
            </c:numRef>
          </c:val>
          <c:smooth val="0"/>
          <c:extLst>
            <c:ext xmlns:c16="http://schemas.microsoft.com/office/drawing/2014/chart" uri="{C3380CC4-5D6E-409C-BE32-E72D297353CC}">
              <c16:uniqueId val="{00000005-A0C3-3247-93E1-20A9F61BA36B}"/>
            </c:ext>
          </c:extLst>
        </c:ser>
        <c:ser>
          <c:idx val="6"/>
          <c:order val="6"/>
          <c:tx>
            <c:strRef>
              <c:f>'📊 SCENARIO COMPARISON'!$B$63</c:f>
              <c:strCache>
                <c:ptCount val="1"/>
                <c:pt idx="0">
                  <c:v>D3</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val>
            <c:numRef>
              <c:f>'📊 SCENARIO COMPARISON'!$C$63:$N$63</c:f>
              <c:numCache>
                <c:formatCode>"$"#,##0.00;\("$"#,##0.00\);"-"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6-A0C3-3247-93E1-20A9F61BA36B}"/>
            </c:ext>
          </c:extLst>
        </c:ser>
        <c:dLbls>
          <c:showLegendKey val="0"/>
          <c:showVal val="0"/>
          <c:showCatName val="0"/>
          <c:showSerName val="0"/>
          <c:showPercent val="0"/>
          <c:showBubbleSize val="0"/>
        </c:dLbls>
        <c:marker val="1"/>
        <c:smooth val="0"/>
        <c:axId val="1360568192"/>
        <c:axId val="1360570880"/>
      </c:lineChart>
      <c:catAx>
        <c:axId val="136056819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360570880"/>
        <c:crosses val="autoZero"/>
        <c:auto val="1"/>
        <c:lblAlgn val="ctr"/>
        <c:lblOffset val="100"/>
        <c:noMultiLvlLbl val="0"/>
      </c:catAx>
      <c:valAx>
        <c:axId val="136057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360568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0</xdr:colOff>
      <xdr:row>29</xdr:row>
      <xdr:rowOff>0</xdr:rowOff>
    </xdr:from>
    <xdr:to>
      <xdr:col>3</xdr:col>
      <xdr:colOff>1371600</xdr:colOff>
      <xdr:row>42</xdr:row>
      <xdr:rowOff>101600</xdr:rowOff>
    </xdr:to>
    <xdr:graphicFrame macro="">
      <xdr:nvGraphicFramePr>
        <xdr:cNvPr id="2" name="Chart 1">
          <a:extLst>
            <a:ext uri="{FF2B5EF4-FFF2-40B4-BE49-F238E27FC236}">
              <a16:creationId xmlns:a16="http://schemas.microsoft.com/office/drawing/2014/main" id="{95DE1F7F-99DE-85B3-7D29-584F79FB5E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46</xdr:row>
      <xdr:rowOff>0</xdr:rowOff>
    </xdr:from>
    <xdr:to>
      <xdr:col>4</xdr:col>
      <xdr:colOff>317500</xdr:colOff>
      <xdr:row>59</xdr:row>
      <xdr:rowOff>101600</xdr:rowOff>
    </xdr:to>
    <xdr:graphicFrame macro="">
      <xdr:nvGraphicFramePr>
        <xdr:cNvPr id="2" name="Chart 1">
          <a:extLst>
            <a:ext uri="{FF2B5EF4-FFF2-40B4-BE49-F238E27FC236}">
              <a16:creationId xmlns:a16="http://schemas.microsoft.com/office/drawing/2014/main" id="{1F49EB62-688C-DBAB-5C62-F4118418C2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47</xdr:row>
      <xdr:rowOff>0</xdr:rowOff>
    </xdr:from>
    <xdr:to>
      <xdr:col>4</xdr:col>
      <xdr:colOff>317500</xdr:colOff>
      <xdr:row>60</xdr:row>
      <xdr:rowOff>101600</xdr:rowOff>
    </xdr:to>
    <xdr:graphicFrame macro="">
      <xdr:nvGraphicFramePr>
        <xdr:cNvPr id="2" name="Chart 1">
          <a:extLst>
            <a:ext uri="{FF2B5EF4-FFF2-40B4-BE49-F238E27FC236}">
              <a16:creationId xmlns:a16="http://schemas.microsoft.com/office/drawing/2014/main" id="{09898912-7418-FB63-323B-A666438CDE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47</xdr:row>
      <xdr:rowOff>0</xdr:rowOff>
    </xdr:from>
    <xdr:to>
      <xdr:col>4</xdr:col>
      <xdr:colOff>317500</xdr:colOff>
      <xdr:row>60</xdr:row>
      <xdr:rowOff>101600</xdr:rowOff>
    </xdr:to>
    <xdr:graphicFrame macro="">
      <xdr:nvGraphicFramePr>
        <xdr:cNvPr id="2" name="Chart 1">
          <a:extLst>
            <a:ext uri="{FF2B5EF4-FFF2-40B4-BE49-F238E27FC236}">
              <a16:creationId xmlns:a16="http://schemas.microsoft.com/office/drawing/2014/main" id="{DD829367-6EB3-9B25-9B8C-2CA27940E5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37</xdr:row>
      <xdr:rowOff>0</xdr:rowOff>
    </xdr:from>
    <xdr:to>
      <xdr:col>3</xdr:col>
      <xdr:colOff>698500</xdr:colOff>
      <xdr:row>50</xdr:row>
      <xdr:rowOff>101600</xdr:rowOff>
    </xdr:to>
    <xdr:graphicFrame macro="">
      <xdr:nvGraphicFramePr>
        <xdr:cNvPr id="2" name="Chart 1">
          <a:extLst>
            <a:ext uri="{FF2B5EF4-FFF2-40B4-BE49-F238E27FC236}">
              <a16:creationId xmlns:a16="http://schemas.microsoft.com/office/drawing/2014/main" id="{2D478EFD-4060-AD9A-AE03-222F7600B1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37</xdr:row>
      <xdr:rowOff>0</xdr:rowOff>
    </xdr:from>
    <xdr:to>
      <xdr:col>8</xdr:col>
      <xdr:colOff>571500</xdr:colOff>
      <xdr:row>50</xdr:row>
      <xdr:rowOff>101600</xdr:rowOff>
    </xdr:to>
    <xdr:graphicFrame macro="">
      <xdr:nvGraphicFramePr>
        <xdr:cNvPr id="3" name="Chart 2">
          <a:extLst>
            <a:ext uri="{FF2B5EF4-FFF2-40B4-BE49-F238E27FC236}">
              <a16:creationId xmlns:a16="http://schemas.microsoft.com/office/drawing/2014/main" id="{D3B35B45-6B1C-ACB6-0EA8-8D6305D2A3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AA607B9-939F-5648-BBCB-861CD4C322EA}">
  <we:reference id="wa200009404" version="1.0.0.5" store="en-US"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7C484-DBE9-174E-9B01-8EC56FC1E405}">
  <sheetPr>
    <tabColor rgb="FF003366"/>
  </sheetPr>
  <dimension ref="A1:N45"/>
  <sheetViews>
    <sheetView showGridLines="0" workbookViewId="0"/>
  </sheetViews>
  <sheetFormatPr baseColWidth="10" defaultRowHeight="16" x14ac:dyDescent="0.2"/>
  <cols>
    <col min="1" max="14" width="12.5" customWidth="1"/>
  </cols>
  <sheetData>
    <row r="1" spans="1:14" x14ac:dyDescent="0.2">
      <c r="A1" s="2"/>
      <c r="B1" s="1"/>
      <c r="C1" s="1"/>
      <c r="D1" s="1"/>
      <c r="E1" s="1"/>
      <c r="F1" s="1"/>
      <c r="G1" s="1"/>
      <c r="H1" s="1"/>
      <c r="I1" s="1"/>
      <c r="J1" s="1"/>
      <c r="K1" s="1"/>
      <c r="L1" s="1"/>
      <c r="M1" s="1"/>
      <c r="N1" s="1"/>
    </row>
    <row r="2" spans="1:14" x14ac:dyDescent="0.2">
      <c r="A2" s="1"/>
      <c r="B2" s="1"/>
      <c r="C2" s="1"/>
      <c r="D2" s="1"/>
      <c r="E2" s="1"/>
      <c r="F2" s="1"/>
      <c r="G2" s="1"/>
      <c r="H2" s="1"/>
      <c r="I2" s="1"/>
      <c r="J2" s="1"/>
      <c r="K2" s="1"/>
      <c r="L2" s="1"/>
      <c r="M2" s="1"/>
      <c r="N2" s="1"/>
    </row>
    <row r="3" spans="1:14" ht="18" x14ac:dyDescent="0.2">
      <c r="A3" s="1"/>
      <c r="B3" s="1"/>
      <c r="C3" s="89" t="s">
        <v>0</v>
      </c>
      <c r="D3" s="90"/>
      <c r="E3" s="90"/>
      <c r="F3" s="90"/>
      <c r="G3" s="90"/>
      <c r="H3" s="90"/>
      <c r="I3" s="90"/>
      <c r="J3" s="90"/>
      <c r="K3" s="90"/>
      <c r="L3" s="91"/>
      <c r="M3" s="1"/>
      <c r="N3" s="1"/>
    </row>
    <row r="4" spans="1:14" x14ac:dyDescent="0.2">
      <c r="A4" s="1"/>
      <c r="B4" s="1"/>
      <c r="C4" s="92"/>
      <c r="D4" s="88"/>
      <c r="E4" s="88"/>
      <c r="F4" s="88"/>
      <c r="G4" s="88"/>
      <c r="H4" s="88"/>
      <c r="I4" s="88"/>
      <c r="J4" s="88"/>
      <c r="K4" s="88"/>
      <c r="L4" s="93"/>
      <c r="M4" s="1"/>
      <c r="N4" s="1"/>
    </row>
    <row r="5" spans="1:14" x14ac:dyDescent="0.2">
      <c r="A5" s="1"/>
      <c r="B5" s="1"/>
      <c r="C5" s="92"/>
      <c r="D5" s="88"/>
      <c r="E5" s="88"/>
      <c r="F5" s="88"/>
      <c r="G5" s="88"/>
      <c r="H5" s="88"/>
      <c r="I5" s="88"/>
      <c r="J5" s="88"/>
      <c r="K5" s="88"/>
      <c r="L5" s="93"/>
      <c r="M5" s="1"/>
      <c r="N5" s="1"/>
    </row>
    <row r="6" spans="1:14" x14ac:dyDescent="0.2">
      <c r="A6" s="1"/>
      <c r="B6" s="1"/>
      <c r="C6" s="92"/>
      <c r="D6" s="88"/>
      <c r="E6" s="88"/>
      <c r="F6" s="88"/>
      <c r="G6" s="88"/>
      <c r="H6" s="88"/>
      <c r="I6" s="88"/>
      <c r="J6" s="88"/>
      <c r="K6" s="88"/>
      <c r="L6" s="93"/>
      <c r="M6" s="1"/>
      <c r="N6" s="1"/>
    </row>
    <row r="7" spans="1:14" x14ac:dyDescent="0.2">
      <c r="A7" s="1"/>
      <c r="B7" s="1"/>
      <c r="C7" s="94"/>
      <c r="D7" s="95"/>
      <c r="E7" s="95"/>
      <c r="F7" s="95"/>
      <c r="G7" s="95"/>
      <c r="H7" s="95"/>
      <c r="I7" s="95"/>
      <c r="J7" s="95"/>
      <c r="K7" s="95"/>
      <c r="L7" s="96"/>
      <c r="M7" s="1"/>
      <c r="N7" s="1"/>
    </row>
    <row r="8" spans="1:14" x14ac:dyDescent="0.2">
      <c r="A8" s="1"/>
      <c r="B8" s="1"/>
      <c r="C8" s="1"/>
      <c r="D8" s="1"/>
      <c r="E8" s="1"/>
      <c r="F8" s="1"/>
      <c r="G8" s="1"/>
      <c r="H8" s="1"/>
      <c r="I8" s="1"/>
      <c r="J8" s="1"/>
      <c r="K8" s="1"/>
      <c r="L8" s="1"/>
      <c r="M8" s="1"/>
      <c r="N8" s="1"/>
    </row>
    <row r="9" spans="1:14" ht="30" x14ac:dyDescent="0.3">
      <c r="A9" s="1"/>
      <c r="B9" s="1"/>
      <c r="C9" s="97" t="s">
        <v>1</v>
      </c>
      <c r="D9" s="97"/>
      <c r="E9" s="97"/>
      <c r="F9" s="97"/>
      <c r="G9" s="97"/>
      <c r="H9" s="97"/>
      <c r="I9" s="97"/>
      <c r="J9" s="97"/>
      <c r="K9" s="97"/>
      <c r="L9" s="97"/>
      <c r="M9" s="1"/>
      <c r="N9" s="1"/>
    </row>
    <row r="10" spans="1:14" x14ac:dyDescent="0.2">
      <c r="A10" s="1"/>
      <c r="B10" s="1"/>
      <c r="C10" s="1"/>
      <c r="D10" s="1"/>
      <c r="E10" s="1"/>
      <c r="F10" s="1"/>
      <c r="G10" s="1"/>
      <c r="H10" s="1"/>
      <c r="I10" s="1"/>
      <c r="J10" s="1"/>
      <c r="K10" s="1"/>
      <c r="L10" s="1"/>
      <c r="M10" s="1"/>
      <c r="N10" s="1"/>
    </row>
    <row r="11" spans="1:14" ht="20" x14ac:dyDescent="0.2">
      <c r="A11" s="1"/>
      <c r="B11" s="1"/>
      <c r="C11" s="86" t="s">
        <v>2</v>
      </c>
      <c r="D11" s="86"/>
      <c r="E11" s="86"/>
      <c r="F11" s="86"/>
      <c r="G11" s="86"/>
      <c r="H11" s="86"/>
      <c r="I11" s="86"/>
      <c r="J11" s="86"/>
      <c r="K11" s="86"/>
      <c r="L11" s="86"/>
      <c r="M11" s="1"/>
      <c r="N11" s="1"/>
    </row>
    <row r="12" spans="1:14" x14ac:dyDescent="0.2">
      <c r="A12" s="1"/>
      <c r="B12" s="1"/>
      <c r="C12" s="1"/>
      <c r="D12" s="1"/>
      <c r="E12" s="1"/>
      <c r="F12" s="1"/>
      <c r="G12" s="1"/>
      <c r="H12" s="1"/>
      <c r="I12" s="1"/>
      <c r="J12" s="1"/>
      <c r="K12" s="1"/>
      <c r="L12" s="1"/>
      <c r="M12" s="1"/>
      <c r="N12" s="1"/>
    </row>
    <row r="13" spans="1:14" x14ac:dyDescent="0.2">
      <c r="A13" s="1"/>
      <c r="B13" s="1"/>
      <c r="C13" s="1"/>
      <c r="D13" s="1"/>
      <c r="E13" s="1"/>
      <c r="F13" s="1"/>
      <c r="G13" s="1"/>
      <c r="H13" s="1"/>
      <c r="I13" s="1"/>
      <c r="J13" s="1"/>
      <c r="K13" s="1"/>
      <c r="L13" s="1"/>
      <c r="M13" s="1"/>
      <c r="N13" s="1"/>
    </row>
    <row r="14" spans="1:14" x14ac:dyDescent="0.2">
      <c r="A14" s="1"/>
      <c r="B14" s="1"/>
      <c r="C14" s="87" t="s">
        <v>3</v>
      </c>
      <c r="D14" s="87"/>
      <c r="E14" s="87"/>
      <c r="F14" s="87"/>
      <c r="G14" s="87"/>
      <c r="H14" s="87"/>
      <c r="I14" s="87"/>
      <c r="J14" s="87"/>
      <c r="K14" s="87"/>
      <c r="L14" s="87"/>
      <c r="M14" s="1"/>
      <c r="N14" s="1"/>
    </row>
    <row r="15" spans="1:14" x14ac:dyDescent="0.2">
      <c r="A15" s="1"/>
      <c r="B15" s="1"/>
      <c r="C15" s="88"/>
      <c r="D15" s="88"/>
      <c r="E15" s="88"/>
      <c r="F15" s="88"/>
      <c r="G15" s="88"/>
      <c r="H15" s="88"/>
      <c r="I15" s="88"/>
      <c r="J15" s="88"/>
      <c r="K15" s="88"/>
      <c r="L15" s="88"/>
      <c r="M15" s="1"/>
      <c r="N15" s="1"/>
    </row>
    <row r="16" spans="1:14" x14ac:dyDescent="0.2">
      <c r="A16" s="1"/>
      <c r="B16" s="1"/>
      <c r="C16" s="88"/>
      <c r="D16" s="88"/>
      <c r="E16" s="88"/>
      <c r="F16" s="88"/>
      <c r="G16" s="88"/>
      <c r="H16" s="88"/>
      <c r="I16" s="88"/>
      <c r="J16" s="88"/>
      <c r="K16" s="88"/>
      <c r="L16" s="88"/>
      <c r="M16" s="1"/>
      <c r="N16" s="1"/>
    </row>
    <row r="17" spans="1:14" x14ac:dyDescent="0.2">
      <c r="A17" s="1"/>
      <c r="B17" s="1"/>
      <c r="C17" s="88"/>
      <c r="D17" s="88"/>
      <c r="E17" s="88"/>
      <c r="F17" s="88"/>
      <c r="G17" s="88"/>
      <c r="H17" s="88"/>
      <c r="I17" s="88"/>
      <c r="J17" s="88"/>
      <c r="K17" s="88"/>
      <c r="L17" s="88"/>
      <c r="M17" s="1"/>
      <c r="N17" s="1"/>
    </row>
    <row r="18" spans="1:14" x14ac:dyDescent="0.2">
      <c r="A18" s="1"/>
      <c r="B18" s="1"/>
      <c r="C18" s="88"/>
      <c r="D18" s="88"/>
      <c r="E18" s="88"/>
      <c r="F18" s="88"/>
      <c r="G18" s="88"/>
      <c r="H18" s="88"/>
      <c r="I18" s="88"/>
      <c r="J18" s="88"/>
      <c r="K18" s="88"/>
      <c r="L18" s="88"/>
      <c r="M18" s="1"/>
      <c r="N18" s="1"/>
    </row>
    <row r="19" spans="1:14" x14ac:dyDescent="0.2">
      <c r="A19" s="1"/>
      <c r="B19" s="1"/>
      <c r="C19" s="1"/>
      <c r="D19" s="1"/>
      <c r="E19" s="1"/>
      <c r="F19" s="1"/>
      <c r="G19" s="1"/>
      <c r="H19" s="1"/>
      <c r="I19" s="1"/>
      <c r="J19" s="1"/>
      <c r="K19" s="1"/>
      <c r="L19" s="1"/>
      <c r="M19" s="1"/>
      <c r="N19" s="1"/>
    </row>
    <row r="20" spans="1:14" x14ac:dyDescent="0.2">
      <c r="A20" s="1"/>
      <c r="B20" s="1"/>
      <c r="C20" s="1"/>
      <c r="D20" s="1"/>
      <c r="E20" s="1"/>
      <c r="F20" s="1"/>
      <c r="G20" s="1"/>
      <c r="H20" s="1"/>
      <c r="I20" s="1"/>
      <c r="J20" s="1"/>
      <c r="K20" s="1"/>
      <c r="L20" s="1"/>
      <c r="M20" s="1"/>
      <c r="N20" s="1"/>
    </row>
    <row r="21" spans="1:14" x14ac:dyDescent="0.2">
      <c r="A21" s="1"/>
      <c r="B21" s="1"/>
      <c r="C21" s="83" t="s">
        <v>4</v>
      </c>
      <c r="D21" s="83"/>
      <c r="E21" s="83"/>
      <c r="F21" s="83"/>
      <c r="G21" s="83"/>
      <c r="H21" s="83"/>
      <c r="I21" s="83"/>
      <c r="J21" s="83"/>
      <c r="K21" s="83"/>
      <c r="L21" s="83"/>
      <c r="M21" s="1"/>
      <c r="N21" s="1"/>
    </row>
    <row r="22" spans="1:14" x14ac:dyDescent="0.2">
      <c r="A22" s="1"/>
      <c r="B22" s="1"/>
      <c r="C22" s="1"/>
      <c r="D22" s="1"/>
      <c r="E22" s="1"/>
      <c r="F22" s="1"/>
      <c r="G22" s="1"/>
      <c r="H22" s="1"/>
      <c r="I22" s="1"/>
      <c r="J22" s="1"/>
      <c r="K22" s="1"/>
      <c r="L22" s="1"/>
      <c r="M22" s="1"/>
      <c r="N22" s="1"/>
    </row>
    <row r="23" spans="1:14" x14ac:dyDescent="0.2">
      <c r="A23" s="1"/>
      <c r="B23" s="1"/>
      <c r="C23" s="84" t="s">
        <v>5</v>
      </c>
      <c r="D23" s="84"/>
      <c r="E23" s="84"/>
      <c r="F23" s="84"/>
      <c r="G23" s="84"/>
      <c r="H23" s="84"/>
      <c r="I23" s="84"/>
      <c r="J23" s="84"/>
      <c r="K23" s="84"/>
      <c r="L23" s="84"/>
      <c r="M23" s="1"/>
      <c r="N23" s="1"/>
    </row>
    <row r="24" spans="1:14" x14ac:dyDescent="0.2">
      <c r="A24" s="1"/>
      <c r="B24" s="1"/>
      <c r="C24" s="84" t="s">
        <v>6</v>
      </c>
      <c r="D24" s="84"/>
      <c r="E24" s="84"/>
      <c r="F24" s="84"/>
      <c r="G24" s="84"/>
      <c r="H24" s="84"/>
      <c r="I24" s="84"/>
      <c r="J24" s="84"/>
      <c r="K24" s="84"/>
      <c r="L24" s="84"/>
      <c r="M24" s="1"/>
      <c r="N24" s="1"/>
    </row>
    <row r="25" spans="1:14" x14ac:dyDescent="0.2">
      <c r="A25" s="1"/>
      <c r="B25" s="1"/>
      <c r="C25" s="84" t="s">
        <v>7</v>
      </c>
      <c r="D25" s="84"/>
      <c r="E25" s="84"/>
      <c r="F25" s="84"/>
      <c r="G25" s="84"/>
      <c r="H25" s="84"/>
      <c r="I25" s="84"/>
      <c r="J25" s="84"/>
      <c r="K25" s="84"/>
      <c r="L25" s="84"/>
      <c r="M25" s="1"/>
      <c r="N25" s="1"/>
    </row>
    <row r="26" spans="1:14" x14ac:dyDescent="0.2">
      <c r="A26" s="1"/>
      <c r="B26" s="1"/>
      <c r="C26" s="84" t="s">
        <v>8</v>
      </c>
      <c r="D26" s="84"/>
      <c r="E26" s="84"/>
      <c r="F26" s="84"/>
      <c r="G26" s="84"/>
      <c r="H26" s="84"/>
      <c r="I26" s="84"/>
      <c r="J26" s="84"/>
      <c r="K26" s="84"/>
      <c r="L26" s="84"/>
      <c r="M26" s="1"/>
      <c r="N26" s="1"/>
    </row>
    <row r="27" spans="1:14" x14ac:dyDescent="0.2">
      <c r="A27" s="1"/>
      <c r="B27" s="1"/>
      <c r="C27" s="1"/>
      <c r="D27" s="1"/>
      <c r="E27" s="1"/>
      <c r="F27" s="1"/>
      <c r="G27" s="1"/>
      <c r="H27" s="1"/>
      <c r="I27" s="1"/>
      <c r="J27" s="1"/>
      <c r="K27" s="1"/>
      <c r="L27" s="1"/>
      <c r="M27" s="1"/>
      <c r="N27" s="1"/>
    </row>
    <row r="28" spans="1:14" x14ac:dyDescent="0.2">
      <c r="A28" s="1"/>
      <c r="B28" s="1"/>
      <c r="C28" s="1"/>
      <c r="D28" s="1"/>
      <c r="E28" s="1"/>
      <c r="F28" s="1"/>
      <c r="G28" s="1"/>
      <c r="H28" s="1"/>
      <c r="I28" s="1"/>
      <c r="J28" s="1"/>
      <c r="K28" s="1"/>
      <c r="L28" s="1"/>
      <c r="M28" s="1"/>
      <c r="N28" s="1"/>
    </row>
    <row r="29" spans="1:14" x14ac:dyDescent="0.2">
      <c r="A29" s="1"/>
      <c r="B29" s="1"/>
      <c r="C29" s="1"/>
      <c r="D29" s="1"/>
      <c r="E29" s="1"/>
      <c r="F29" s="1"/>
      <c r="G29" s="1"/>
      <c r="H29" s="1"/>
      <c r="I29" s="1"/>
      <c r="J29" s="1"/>
      <c r="K29" s="1"/>
      <c r="L29" s="1"/>
      <c r="M29" s="1"/>
      <c r="N29" s="1"/>
    </row>
    <row r="30" spans="1:14" x14ac:dyDescent="0.2">
      <c r="A30" s="1"/>
      <c r="B30" s="1"/>
      <c r="C30" s="1"/>
      <c r="D30" s="1"/>
      <c r="E30" s="1"/>
      <c r="F30" s="1"/>
      <c r="G30" s="1"/>
      <c r="H30" s="1"/>
      <c r="I30" s="1"/>
      <c r="J30" s="1"/>
      <c r="K30" s="1"/>
      <c r="L30" s="1"/>
      <c r="M30" s="1"/>
      <c r="N30" s="1"/>
    </row>
    <row r="31" spans="1:14" x14ac:dyDescent="0.2">
      <c r="A31" s="1"/>
      <c r="B31" s="1"/>
      <c r="C31" s="1"/>
      <c r="D31" s="1"/>
      <c r="E31" s="1"/>
      <c r="F31" s="1"/>
      <c r="G31" s="1"/>
      <c r="H31" s="1"/>
      <c r="I31" s="1"/>
      <c r="J31" s="1"/>
      <c r="K31" s="1"/>
      <c r="L31" s="1"/>
      <c r="M31" s="1"/>
      <c r="N31" s="1"/>
    </row>
    <row r="32" spans="1:14" x14ac:dyDescent="0.2">
      <c r="A32" s="1"/>
      <c r="B32" s="1"/>
      <c r="C32" s="1"/>
      <c r="D32" s="1"/>
      <c r="E32" s="1"/>
      <c r="F32" s="1"/>
      <c r="G32" s="1"/>
      <c r="H32" s="1"/>
      <c r="I32" s="1"/>
      <c r="J32" s="1"/>
      <c r="K32" s="1"/>
      <c r="L32" s="1"/>
      <c r="M32" s="1"/>
      <c r="N32" s="1"/>
    </row>
    <row r="33" spans="1:14" x14ac:dyDescent="0.2">
      <c r="A33" s="1"/>
      <c r="B33" s="1"/>
      <c r="C33" s="1"/>
      <c r="D33" s="1"/>
      <c r="E33" s="1"/>
      <c r="F33" s="1"/>
      <c r="G33" s="1"/>
      <c r="H33" s="1"/>
      <c r="I33" s="1"/>
      <c r="J33" s="1"/>
      <c r="K33" s="1"/>
      <c r="L33" s="1"/>
      <c r="M33" s="1"/>
      <c r="N33" s="1"/>
    </row>
    <row r="34" spans="1:14" x14ac:dyDescent="0.2">
      <c r="A34" s="1"/>
      <c r="B34" s="1"/>
      <c r="C34" s="1"/>
      <c r="D34" s="1"/>
      <c r="E34" s="1"/>
      <c r="F34" s="1"/>
      <c r="G34" s="1"/>
      <c r="H34" s="1"/>
      <c r="I34" s="1"/>
      <c r="J34" s="1"/>
      <c r="K34" s="1"/>
      <c r="L34" s="1"/>
      <c r="M34" s="1"/>
      <c r="N34" s="1"/>
    </row>
    <row r="35" spans="1:14" x14ac:dyDescent="0.2">
      <c r="A35" s="1"/>
      <c r="B35" s="1"/>
      <c r="C35" s="1"/>
      <c r="D35" s="1"/>
      <c r="E35" s="1"/>
      <c r="F35" s="1"/>
      <c r="G35" s="1"/>
      <c r="H35" s="1"/>
      <c r="I35" s="1"/>
      <c r="J35" s="1"/>
      <c r="K35" s="1"/>
      <c r="L35" s="1"/>
      <c r="M35" s="1"/>
      <c r="N35" s="1"/>
    </row>
    <row r="36" spans="1:14" x14ac:dyDescent="0.2">
      <c r="A36" s="1"/>
      <c r="B36" s="1"/>
      <c r="C36" s="1"/>
      <c r="D36" s="1"/>
      <c r="E36" s="1"/>
      <c r="F36" s="1"/>
      <c r="G36" s="1"/>
      <c r="H36" s="1"/>
      <c r="I36" s="1"/>
      <c r="J36" s="1"/>
      <c r="K36" s="1"/>
      <c r="L36" s="1"/>
      <c r="M36" s="1"/>
      <c r="N36" s="1"/>
    </row>
    <row r="37" spans="1:14" x14ac:dyDescent="0.2">
      <c r="A37" s="1"/>
      <c r="B37" s="1"/>
      <c r="C37" s="1"/>
      <c r="D37" s="1"/>
      <c r="E37" s="1"/>
      <c r="F37" s="1"/>
      <c r="G37" s="1"/>
      <c r="H37" s="1"/>
      <c r="I37" s="1"/>
      <c r="J37" s="1"/>
      <c r="K37" s="1"/>
      <c r="L37" s="1"/>
      <c r="M37" s="1"/>
      <c r="N37" s="1"/>
    </row>
    <row r="38" spans="1:14" x14ac:dyDescent="0.2">
      <c r="A38" s="1"/>
      <c r="B38" s="1"/>
      <c r="C38" s="1"/>
      <c r="D38" s="1"/>
      <c r="E38" s="1"/>
      <c r="F38" s="1"/>
      <c r="G38" s="1"/>
      <c r="H38" s="1"/>
      <c r="I38" s="1"/>
      <c r="J38" s="1"/>
      <c r="K38" s="1"/>
      <c r="L38" s="1"/>
      <c r="M38" s="1"/>
      <c r="N38" s="1"/>
    </row>
    <row r="39" spans="1:14" x14ac:dyDescent="0.2">
      <c r="A39" s="1"/>
      <c r="B39" s="1"/>
      <c r="C39" s="85" t="str">
        <f ca="1">CONCATENATE("Confidential — For Reseller Use Only  |  BucketsAI  |  ",TEXT(TODAY(),"MMMM D, YYYY"))</f>
        <v>Confidential — For Reseller Use Only  |  BucketsAI  |  February 27, 2026</v>
      </c>
      <c r="D39" s="85"/>
      <c r="E39" s="85"/>
      <c r="F39" s="85"/>
      <c r="G39" s="85"/>
      <c r="H39" s="85"/>
      <c r="I39" s="85"/>
      <c r="J39" s="85"/>
      <c r="K39" s="85"/>
      <c r="L39" s="85"/>
      <c r="M39" s="1"/>
      <c r="N39" s="1"/>
    </row>
    <row r="40" spans="1:14" x14ac:dyDescent="0.2">
      <c r="A40" s="1"/>
      <c r="B40" s="1"/>
      <c r="C40" s="1"/>
      <c r="D40" s="1"/>
      <c r="E40" s="1"/>
      <c r="F40" s="1"/>
      <c r="G40" s="1"/>
      <c r="H40" s="1"/>
      <c r="I40" s="1"/>
      <c r="J40" s="1"/>
      <c r="K40" s="1"/>
      <c r="L40" s="1"/>
      <c r="M40" s="1"/>
      <c r="N40" s="1"/>
    </row>
    <row r="41" spans="1:14" ht="17" thickBot="1" x14ac:dyDescent="0.25">
      <c r="A41" s="1"/>
      <c r="B41" s="1"/>
      <c r="C41" s="3"/>
      <c r="D41" s="3"/>
      <c r="E41" s="3"/>
      <c r="F41" s="3"/>
      <c r="G41" s="3"/>
      <c r="H41" s="3"/>
      <c r="I41" s="3"/>
      <c r="J41" s="3"/>
      <c r="K41" s="3"/>
      <c r="L41" s="3"/>
      <c r="M41" s="1"/>
      <c r="N41" s="1"/>
    </row>
    <row r="42" spans="1:14" ht="17" thickTop="1" x14ac:dyDescent="0.2">
      <c r="A42" s="1"/>
      <c r="B42" s="1"/>
      <c r="C42" s="1"/>
      <c r="D42" s="1"/>
      <c r="E42" s="1"/>
      <c r="F42" s="1"/>
      <c r="G42" s="1"/>
      <c r="H42" s="1"/>
      <c r="I42" s="1"/>
      <c r="J42" s="1"/>
      <c r="K42" s="1"/>
      <c r="L42" s="1"/>
      <c r="M42" s="1"/>
      <c r="N42" s="1"/>
    </row>
    <row r="43" spans="1:14" x14ac:dyDescent="0.2">
      <c r="A43" s="1"/>
      <c r="B43" s="1"/>
      <c r="C43" s="1"/>
      <c r="D43" s="1"/>
      <c r="E43" s="1"/>
      <c r="F43" s="1"/>
      <c r="G43" s="1"/>
      <c r="H43" s="1"/>
      <c r="I43" s="1"/>
      <c r="J43" s="1"/>
      <c r="K43" s="1"/>
      <c r="L43" s="1"/>
      <c r="M43" s="1"/>
      <c r="N43" s="1"/>
    </row>
    <row r="44" spans="1:14" x14ac:dyDescent="0.2">
      <c r="A44" s="1"/>
      <c r="B44" s="1"/>
      <c r="C44" s="1"/>
      <c r="D44" s="1"/>
      <c r="E44" s="1"/>
      <c r="F44" s="1"/>
      <c r="G44" s="1"/>
      <c r="H44" s="1"/>
      <c r="I44" s="1"/>
      <c r="J44" s="1"/>
      <c r="K44" s="1"/>
      <c r="L44" s="1"/>
      <c r="M44" s="1"/>
      <c r="N44" s="1"/>
    </row>
    <row r="45" spans="1:14" x14ac:dyDescent="0.2">
      <c r="A45" s="1"/>
      <c r="B45" s="1"/>
      <c r="C45" s="1"/>
      <c r="D45" s="1"/>
      <c r="E45" s="1"/>
      <c r="F45" s="1"/>
      <c r="G45" s="1"/>
      <c r="H45" s="1"/>
      <c r="I45" s="1"/>
      <c r="J45" s="1"/>
      <c r="K45" s="1"/>
      <c r="L45" s="1"/>
      <c r="M45" s="1"/>
      <c r="N45" s="1"/>
    </row>
  </sheetData>
  <mergeCells count="18">
    <mergeCell ref="C9:L9"/>
    <mergeCell ref="C3:L3"/>
    <mergeCell ref="C4:L4"/>
    <mergeCell ref="C5:L5"/>
    <mergeCell ref="C6:L6"/>
    <mergeCell ref="C7:L7"/>
    <mergeCell ref="C39:L39"/>
    <mergeCell ref="C11:L11"/>
    <mergeCell ref="C14:L14"/>
    <mergeCell ref="C15:L15"/>
    <mergeCell ref="C16:L16"/>
    <mergeCell ref="C17:L17"/>
    <mergeCell ref="C18:L18"/>
    <mergeCell ref="C21:L21"/>
    <mergeCell ref="C23:L23"/>
    <mergeCell ref="C24:L24"/>
    <mergeCell ref="C25:L25"/>
    <mergeCell ref="C26:L2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13284-66A4-9346-8ED7-C8163469C9E4}">
  <sheetPr>
    <tabColor rgb="FFE26B0A"/>
  </sheetPr>
  <dimension ref="A1:N100"/>
  <sheetViews>
    <sheetView showGridLines="0" tabSelected="1" workbookViewId="0"/>
  </sheetViews>
  <sheetFormatPr baseColWidth="10" defaultRowHeight="16" x14ac:dyDescent="0.2"/>
  <cols>
    <col min="1" max="1" width="4.6640625" customWidth="1"/>
    <col min="2" max="2" width="23.33203125" customWidth="1"/>
    <col min="3" max="3" width="18.6640625" customWidth="1"/>
    <col min="4" max="4" width="21.6640625" customWidth="1"/>
    <col min="5" max="5" width="18.6640625" customWidth="1"/>
    <col min="6" max="6" width="26.6640625" customWidth="1"/>
    <col min="7" max="7" width="4.6640625" customWidth="1"/>
  </cols>
  <sheetData>
    <row r="1" spans="1:14" x14ac:dyDescent="0.2">
      <c r="A1" s="10"/>
      <c r="B1" s="27" t="s">
        <v>9</v>
      </c>
      <c r="C1" s="10"/>
      <c r="D1" s="10"/>
      <c r="E1" s="10"/>
      <c r="F1" s="10"/>
      <c r="G1" s="10"/>
      <c r="H1" s="10"/>
      <c r="I1" s="10"/>
      <c r="J1" s="10"/>
      <c r="K1" s="10"/>
      <c r="L1" s="10"/>
      <c r="M1" s="10"/>
      <c r="N1" s="10"/>
    </row>
    <row r="2" spans="1:14" x14ac:dyDescent="0.2">
      <c r="A2" s="10"/>
      <c r="B2" s="5" t="s">
        <v>10</v>
      </c>
      <c r="C2" s="10"/>
      <c r="D2" s="10"/>
      <c r="E2" s="10"/>
      <c r="F2" s="10"/>
      <c r="G2" s="10"/>
      <c r="H2" s="10"/>
      <c r="I2" s="10"/>
      <c r="J2" s="10"/>
      <c r="K2" s="10"/>
      <c r="L2" s="10"/>
      <c r="M2" s="10"/>
      <c r="N2" s="10"/>
    </row>
    <row r="3" spans="1:14" x14ac:dyDescent="0.2">
      <c r="A3" s="10"/>
      <c r="B3" s="10"/>
      <c r="C3" s="10"/>
      <c r="D3" s="10"/>
      <c r="E3" s="10"/>
      <c r="F3" s="10"/>
      <c r="G3" s="10"/>
      <c r="H3" s="10"/>
      <c r="I3" s="10"/>
      <c r="J3" s="10"/>
      <c r="K3" s="10"/>
      <c r="L3" s="10"/>
      <c r="M3" s="10"/>
      <c r="N3" s="10"/>
    </row>
    <row r="4" spans="1:14" x14ac:dyDescent="0.2">
      <c r="A4" s="10"/>
      <c r="B4" s="28" t="s">
        <v>11</v>
      </c>
      <c r="C4" s="10"/>
      <c r="D4" s="10"/>
      <c r="E4" s="10"/>
      <c r="F4" s="10"/>
      <c r="G4" s="10"/>
      <c r="H4" s="10"/>
      <c r="I4" s="10"/>
      <c r="J4" s="10"/>
      <c r="K4" s="10"/>
      <c r="L4" s="10"/>
      <c r="M4" s="10"/>
      <c r="N4" s="10"/>
    </row>
    <row r="5" spans="1:14" x14ac:dyDescent="0.2">
      <c r="A5" s="10"/>
      <c r="B5" s="9" t="s">
        <v>12</v>
      </c>
      <c r="C5" s="9" t="s">
        <v>13</v>
      </c>
      <c r="D5" s="9" t="s">
        <v>14</v>
      </c>
      <c r="E5" s="9" t="s">
        <v>15</v>
      </c>
      <c r="F5" s="9" t="s">
        <v>16</v>
      </c>
      <c r="G5" s="10"/>
      <c r="H5" s="10"/>
      <c r="I5" s="10"/>
      <c r="J5" s="10"/>
      <c r="K5" s="10"/>
      <c r="L5" s="10"/>
      <c r="M5" s="10"/>
      <c r="N5" s="10"/>
    </row>
    <row r="6" spans="1:14" x14ac:dyDescent="0.2">
      <c r="A6" s="10"/>
      <c r="B6" s="12" t="s">
        <v>17</v>
      </c>
      <c r="C6" s="15">
        <v>199</v>
      </c>
      <c r="D6" s="15">
        <v>169</v>
      </c>
      <c r="E6" s="15">
        <v>2028</v>
      </c>
      <c r="F6" s="17">
        <f>(C6-D6)/C6</f>
        <v>0.15075376884422109</v>
      </c>
      <c r="G6" s="10"/>
      <c r="H6" s="10"/>
      <c r="I6" s="10"/>
      <c r="J6" s="10"/>
      <c r="K6" s="10"/>
      <c r="L6" s="10"/>
      <c r="M6" s="10"/>
      <c r="N6" s="10"/>
    </row>
    <row r="7" spans="1:14" x14ac:dyDescent="0.2">
      <c r="A7" s="10"/>
      <c r="B7" s="12" t="s">
        <v>18</v>
      </c>
      <c r="C7" s="15">
        <v>699</v>
      </c>
      <c r="D7" s="15">
        <v>589</v>
      </c>
      <c r="E7" s="15">
        <v>7068</v>
      </c>
      <c r="F7" s="17">
        <f>(C7-D7)/C7</f>
        <v>0.15736766809728184</v>
      </c>
      <c r="G7" s="10"/>
      <c r="H7" s="10"/>
      <c r="I7" s="10"/>
      <c r="J7" s="10"/>
      <c r="K7" s="10"/>
      <c r="L7" s="10"/>
      <c r="M7" s="10"/>
      <c r="N7" s="10"/>
    </row>
    <row r="8" spans="1:14" x14ac:dyDescent="0.2">
      <c r="A8" s="10"/>
      <c r="B8" s="12" t="s">
        <v>19</v>
      </c>
      <c r="C8" s="15">
        <v>1599</v>
      </c>
      <c r="D8" s="15">
        <v>1349</v>
      </c>
      <c r="E8" s="15">
        <v>16188</v>
      </c>
      <c r="F8" s="17">
        <f>(C8-D8)/C8</f>
        <v>0.15634771732332708</v>
      </c>
      <c r="G8" s="10"/>
      <c r="H8" s="10"/>
      <c r="I8" s="10"/>
      <c r="J8" s="10"/>
      <c r="K8" s="10"/>
      <c r="L8" s="10"/>
      <c r="M8" s="10"/>
      <c r="N8" s="10"/>
    </row>
    <row r="9" spans="1:14" x14ac:dyDescent="0.2">
      <c r="A9" s="10"/>
      <c r="B9" s="10"/>
      <c r="C9" s="10"/>
      <c r="D9" s="10"/>
      <c r="E9" s="10"/>
      <c r="F9" s="10"/>
      <c r="G9" s="10"/>
      <c r="H9" s="10"/>
      <c r="I9" s="10"/>
      <c r="J9" s="10"/>
      <c r="K9" s="10"/>
      <c r="L9" s="10"/>
      <c r="M9" s="10"/>
      <c r="N9" s="10"/>
    </row>
    <row r="10" spans="1:14" x14ac:dyDescent="0.2">
      <c r="A10" s="10"/>
      <c r="B10" s="10"/>
      <c r="C10" s="10"/>
      <c r="D10" s="10"/>
      <c r="E10" s="10"/>
      <c r="F10" s="10"/>
      <c r="G10" s="10"/>
      <c r="H10" s="10"/>
      <c r="I10" s="10"/>
      <c r="J10" s="10"/>
      <c r="K10" s="10"/>
      <c r="L10" s="10"/>
      <c r="M10" s="10"/>
      <c r="N10" s="10"/>
    </row>
    <row r="11" spans="1:14" x14ac:dyDescent="0.2">
      <c r="A11" s="10"/>
      <c r="B11" s="28" t="s">
        <v>20</v>
      </c>
      <c r="C11" s="10"/>
      <c r="D11" s="10"/>
      <c r="E11" s="10"/>
      <c r="F11" s="10"/>
      <c r="G11" s="10"/>
      <c r="H11" s="10"/>
      <c r="I11" s="10"/>
      <c r="J11" s="10"/>
      <c r="K11" s="10"/>
      <c r="L11" s="10"/>
      <c r="M11" s="10"/>
      <c r="N11" s="10"/>
    </row>
    <row r="12" spans="1:14" x14ac:dyDescent="0.2">
      <c r="A12" s="10"/>
      <c r="B12" s="9" t="s">
        <v>21</v>
      </c>
      <c r="C12" s="9" t="s">
        <v>22</v>
      </c>
      <c r="D12" s="9" t="s">
        <v>23</v>
      </c>
      <c r="E12" s="9" t="s">
        <v>24</v>
      </c>
      <c r="F12" s="9" t="s">
        <v>25</v>
      </c>
      <c r="G12" s="9" t="s">
        <v>26</v>
      </c>
      <c r="H12" s="10"/>
      <c r="I12" s="10"/>
      <c r="J12" s="10"/>
      <c r="K12" s="10"/>
      <c r="L12" s="10"/>
      <c r="M12" s="10"/>
      <c r="N12" s="10"/>
    </row>
    <row r="13" spans="1:14" x14ac:dyDescent="0.2">
      <c r="A13" s="10"/>
      <c r="B13" s="19" t="s">
        <v>27</v>
      </c>
      <c r="C13" s="19" t="s">
        <v>28</v>
      </c>
      <c r="D13" s="20">
        <v>1</v>
      </c>
      <c r="E13" s="19" t="s">
        <v>29</v>
      </c>
      <c r="F13" s="19" t="s">
        <v>30</v>
      </c>
      <c r="G13" s="19" t="s">
        <v>31</v>
      </c>
      <c r="H13" s="10"/>
      <c r="I13" s="10"/>
      <c r="J13" s="10"/>
      <c r="K13" s="10"/>
      <c r="L13" s="10"/>
      <c r="M13" s="10"/>
      <c r="N13" s="10"/>
    </row>
    <row r="14" spans="1:14" x14ac:dyDescent="0.2">
      <c r="A14" s="10"/>
      <c r="B14" s="22" t="s">
        <v>32</v>
      </c>
      <c r="C14" s="22" t="s">
        <v>33</v>
      </c>
      <c r="D14" s="22" t="s">
        <v>34</v>
      </c>
      <c r="E14" s="22" t="s">
        <v>35</v>
      </c>
      <c r="F14" s="22" t="s">
        <v>30</v>
      </c>
      <c r="G14" s="22" t="s">
        <v>36</v>
      </c>
      <c r="H14" s="10"/>
      <c r="I14" s="10"/>
      <c r="J14" s="10"/>
      <c r="K14" s="10"/>
      <c r="L14" s="10"/>
      <c r="M14" s="10"/>
      <c r="N14" s="10"/>
    </row>
    <row r="15" spans="1:14" x14ac:dyDescent="0.2">
      <c r="A15" s="10"/>
      <c r="B15" s="24" t="s">
        <v>37</v>
      </c>
      <c r="C15" s="24" t="s">
        <v>38</v>
      </c>
      <c r="D15" s="24" t="s">
        <v>39</v>
      </c>
      <c r="E15" s="24" t="s">
        <v>40</v>
      </c>
      <c r="F15" s="24" t="s">
        <v>30</v>
      </c>
      <c r="G15" s="24" t="s">
        <v>41</v>
      </c>
      <c r="H15" s="10"/>
      <c r="I15" s="10"/>
      <c r="J15" s="10"/>
      <c r="K15" s="10"/>
      <c r="L15" s="10"/>
      <c r="M15" s="10"/>
      <c r="N15" s="10"/>
    </row>
    <row r="16" spans="1:14" x14ac:dyDescent="0.2">
      <c r="A16" s="10"/>
      <c r="B16" s="26" t="s">
        <v>42</v>
      </c>
      <c r="C16" s="26" t="s">
        <v>43</v>
      </c>
      <c r="D16" s="26" t="s">
        <v>44</v>
      </c>
      <c r="E16" s="26" t="s">
        <v>45</v>
      </c>
      <c r="F16" s="26" t="s">
        <v>46</v>
      </c>
      <c r="G16" s="26" t="s">
        <v>47</v>
      </c>
      <c r="H16" s="10"/>
      <c r="I16" s="10"/>
      <c r="J16" s="10"/>
      <c r="K16" s="10"/>
      <c r="L16" s="10"/>
      <c r="M16" s="10"/>
      <c r="N16" s="10"/>
    </row>
    <row r="17" spans="1:14" x14ac:dyDescent="0.2">
      <c r="A17" s="10"/>
      <c r="B17" s="26" t="s">
        <v>48</v>
      </c>
      <c r="C17" s="26" t="s">
        <v>49</v>
      </c>
      <c r="D17" s="26" t="s">
        <v>50</v>
      </c>
      <c r="E17" s="26" t="s">
        <v>45</v>
      </c>
      <c r="F17" s="26" t="s">
        <v>51</v>
      </c>
      <c r="G17" s="26" t="s">
        <v>52</v>
      </c>
      <c r="H17" s="10"/>
      <c r="I17" s="10"/>
      <c r="J17" s="10"/>
      <c r="K17" s="10"/>
      <c r="L17" s="10"/>
      <c r="M17" s="10"/>
      <c r="N17" s="10"/>
    </row>
    <row r="18" spans="1:14" x14ac:dyDescent="0.2">
      <c r="A18" s="10"/>
      <c r="B18" s="26" t="s">
        <v>53</v>
      </c>
      <c r="C18" s="26" t="s">
        <v>54</v>
      </c>
      <c r="D18" s="26" t="s">
        <v>55</v>
      </c>
      <c r="E18" s="26" t="s">
        <v>29</v>
      </c>
      <c r="F18" s="26" t="s">
        <v>56</v>
      </c>
      <c r="G18" s="26" t="s">
        <v>57</v>
      </c>
      <c r="H18" s="10"/>
      <c r="I18" s="10"/>
      <c r="J18" s="10"/>
      <c r="K18" s="10"/>
      <c r="L18" s="10"/>
      <c r="M18" s="10"/>
      <c r="N18" s="10"/>
    </row>
    <row r="19" spans="1:14" x14ac:dyDescent="0.2">
      <c r="A19" s="10"/>
      <c r="B19" s="10"/>
      <c r="C19" s="10"/>
      <c r="D19" s="10"/>
      <c r="E19" s="10"/>
      <c r="F19" s="10"/>
      <c r="G19" s="10"/>
      <c r="H19" s="10"/>
      <c r="I19" s="10"/>
      <c r="J19" s="10"/>
      <c r="K19" s="10"/>
      <c r="L19" s="10"/>
      <c r="M19" s="10"/>
      <c r="N19" s="10"/>
    </row>
    <row r="20" spans="1:14" x14ac:dyDescent="0.2">
      <c r="A20" s="10"/>
      <c r="B20" s="10"/>
      <c r="C20" s="10"/>
      <c r="D20" s="10"/>
      <c r="E20" s="10"/>
      <c r="F20" s="10"/>
      <c r="G20" s="10"/>
      <c r="H20" s="10"/>
      <c r="I20" s="10"/>
      <c r="J20" s="10"/>
      <c r="K20" s="10"/>
      <c r="L20" s="10"/>
      <c r="M20" s="10"/>
      <c r="N20" s="10"/>
    </row>
    <row r="21" spans="1:14" x14ac:dyDescent="0.2">
      <c r="A21" s="10"/>
      <c r="B21" s="7" t="s">
        <v>58</v>
      </c>
      <c r="C21" s="10"/>
      <c r="D21" s="10"/>
      <c r="E21" s="10"/>
      <c r="F21" s="10"/>
      <c r="G21" s="10"/>
      <c r="H21" s="10"/>
      <c r="I21" s="10"/>
      <c r="J21" s="10"/>
      <c r="K21" s="10"/>
      <c r="L21" s="10"/>
      <c r="M21" s="10"/>
      <c r="N21" s="10"/>
    </row>
    <row r="22" spans="1:14" x14ac:dyDescent="0.2">
      <c r="A22" s="10"/>
      <c r="B22" s="29" t="s">
        <v>21</v>
      </c>
      <c r="C22" s="29" t="s">
        <v>59</v>
      </c>
      <c r="D22" s="10"/>
      <c r="E22" s="10"/>
      <c r="F22" s="10"/>
      <c r="G22" s="10"/>
      <c r="H22" s="10"/>
      <c r="I22" s="10"/>
      <c r="J22" s="10"/>
      <c r="K22" s="10"/>
      <c r="L22" s="10"/>
      <c r="M22" s="10"/>
      <c r="N22" s="10"/>
    </row>
    <row r="23" spans="1:14" x14ac:dyDescent="0.2">
      <c r="A23" s="10"/>
      <c r="B23" s="16" t="s">
        <v>27</v>
      </c>
      <c r="C23" s="30">
        <v>699</v>
      </c>
      <c r="D23" s="10"/>
      <c r="E23" s="10"/>
      <c r="F23" s="10"/>
      <c r="G23" s="10"/>
      <c r="H23" s="10"/>
      <c r="I23" s="10"/>
      <c r="J23" s="10"/>
      <c r="K23" s="10"/>
      <c r="L23" s="10"/>
      <c r="M23" s="10"/>
      <c r="N23" s="10"/>
    </row>
    <row r="24" spans="1:14" x14ac:dyDescent="0.2">
      <c r="A24" s="10"/>
      <c r="B24" s="16" t="s">
        <v>32</v>
      </c>
      <c r="C24" s="30">
        <v>1048.5</v>
      </c>
      <c r="D24" s="10"/>
      <c r="E24" s="10"/>
      <c r="F24" s="10"/>
      <c r="G24" s="10"/>
      <c r="H24" s="10"/>
      <c r="I24" s="10"/>
      <c r="J24" s="10"/>
      <c r="K24" s="10"/>
      <c r="L24" s="10"/>
      <c r="M24" s="10"/>
      <c r="N24" s="10"/>
    </row>
    <row r="25" spans="1:14" x14ac:dyDescent="0.2">
      <c r="A25" s="10"/>
      <c r="B25" s="16" t="s">
        <v>37</v>
      </c>
      <c r="C25" s="30">
        <v>1257.3</v>
      </c>
      <c r="D25" s="10"/>
      <c r="E25" s="10"/>
      <c r="F25" s="10"/>
      <c r="G25" s="10"/>
      <c r="H25" s="10"/>
      <c r="I25" s="10"/>
      <c r="J25" s="10"/>
      <c r="K25" s="10"/>
      <c r="L25" s="10"/>
      <c r="M25" s="10"/>
      <c r="N25" s="10"/>
    </row>
    <row r="26" spans="1:14" x14ac:dyDescent="0.2">
      <c r="A26" s="10"/>
      <c r="B26" s="16" t="s">
        <v>42</v>
      </c>
      <c r="C26" s="30">
        <v>838.8</v>
      </c>
      <c r="D26" s="10"/>
      <c r="E26" s="10"/>
      <c r="F26" s="10"/>
      <c r="G26" s="10"/>
      <c r="H26" s="10"/>
      <c r="I26" s="10"/>
      <c r="J26" s="10"/>
      <c r="K26" s="10"/>
      <c r="L26" s="10"/>
      <c r="M26" s="10"/>
      <c r="N26" s="10"/>
    </row>
    <row r="27" spans="1:14" x14ac:dyDescent="0.2">
      <c r="A27" s="10"/>
      <c r="B27" s="16" t="s">
        <v>48</v>
      </c>
      <c r="C27" s="30">
        <v>1006.56</v>
      </c>
      <c r="D27" s="10"/>
      <c r="E27" s="10"/>
      <c r="F27" s="10"/>
      <c r="G27" s="10"/>
      <c r="H27" s="10"/>
      <c r="I27" s="10"/>
      <c r="J27" s="10"/>
      <c r="K27" s="10"/>
      <c r="L27" s="10"/>
      <c r="M27" s="10"/>
      <c r="N27" s="10"/>
    </row>
    <row r="28" spans="1:14" x14ac:dyDescent="0.2">
      <c r="A28" s="10"/>
      <c r="B28" s="16" t="s">
        <v>53</v>
      </c>
      <c r="C28" s="30">
        <v>1060.2</v>
      </c>
      <c r="D28" s="10"/>
      <c r="E28" s="10"/>
      <c r="F28" s="10"/>
      <c r="G28" s="10"/>
      <c r="H28" s="10"/>
      <c r="I28" s="10"/>
      <c r="J28" s="10"/>
      <c r="K28" s="10"/>
      <c r="L28" s="10"/>
      <c r="M28" s="10"/>
      <c r="N28" s="10"/>
    </row>
    <row r="29" spans="1:14" x14ac:dyDescent="0.2">
      <c r="A29" s="10"/>
      <c r="B29" s="10"/>
      <c r="C29" s="10"/>
      <c r="D29" s="10"/>
      <c r="E29" s="10"/>
      <c r="F29" s="10"/>
      <c r="G29" s="10"/>
      <c r="H29" s="10"/>
      <c r="I29" s="10"/>
      <c r="J29" s="10"/>
      <c r="K29" s="10"/>
      <c r="L29" s="10"/>
      <c r="M29" s="10"/>
      <c r="N29" s="10"/>
    </row>
    <row r="30" spans="1:14" x14ac:dyDescent="0.2">
      <c r="A30" s="10"/>
      <c r="B30" s="10"/>
      <c r="C30" s="10"/>
      <c r="D30" s="10"/>
      <c r="E30" s="10"/>
      <c r="F30" s="10"/>
      <c r="G30" s="10"/>
      <c r="H30" s="10"/>
      <c r="I30" s="10"/>
      <c r="J30" s="10"/>
      <c r="K30" s="10"/>
      <c r="L30" s="10"/>
      <c r="M30" s="10"/>
      <c r="N30" s="10"/>
    </row>
    <row r="31" spans="1:14" x14ac:dyDescent="0.2">
      <c r="A31" s="10"/>
      <c r="B31" s="10"/>
      <c r="C31" s="10"/>
      <c r="D31" s="10"/>
      <c r="E31" s="10"/>
      <c r="F31" s="10"/>
      <c r="G31" s="10"/>
      <c r="H31" s="10"/>
      <c r="I31" s="10"/>
      <c r="J31" s="10"/>
      <c r="K31" s="10"/>
      <c r="L31" s="10"/>
      <c r="M31" s="10"/>
      <c r="N31" s="10"/>
    </row>
    <row r="32" spans="1:14" x14ac:dyDescent="0.2">
      <c r="A32" s="10"/>
      <c r="B32" s="10"/>
      <c r="C32" s="10"/>
      <c r="D32" s="10"/>
      <c r="E32" s="10"/>
      <c r="F32" s="10"/>
      <c r="G32" s="10"/>
      <c r="H32" s="10"/>
      <c r="I32" s="10"/>
      <c r="J32" s="10"/>
      <c r="K32" s="10"/>
      <c r="L32" s="10"/>
      <c r="M32" s="10"/>
      <c r="N32" s="10"/>
    </row>
    <row r="33" spans="1:14" x14ac:dyDescent="0.2">
      <c r="A33" s="10"/>
      <c r="B33" s="10"/>
      <c r="C33" s="10"/>
      <c r="D33" s="10"/>
      <c r="E33" s="10"/>
      <c r="F33" s="10"/>
      <c r="G33" s="10"/>
      <c r="H33" s="10"/>
      <c r="I33" s="10"/>
      <c r="J33" s="10"/>
      <c r="K33" s="10"/>
      <c r="L33" s="10"/>
      <c r="M33" s="10"/>
      <c r="N33" s="10"/>
    </row>
    <row r="34" spans="1:14" x14ac:dyDescent="0.2">
      <c r="A34" s="10"/>
      <c r="B34" s="10"/>
      <c r="C34" s="10"/>
      <c r="D34" s="10"/>
      <c r="E34" s="10"/>
      <c r="F34" s="10"/>
      <c r="G34" s="10"/>
      <c r="H34" s="10"/>
      <c r="I34" s="10"/>
      <c r="J34" s="10"/>
      <c r="K34" s="10"/>
      <c r="L34" s="10"/>
      <c r="M34" s="10"/>
      <c r="N34" s="10"/>
    </row>
    <row r="35" spans="1:14" x14ac:dyDescent="0.2">
      <c r="A35" s="10"/>
      <c r="B35" s="10"/>
      <c r="C35" s="10"/>
      <c r="D35" s="10"/>
      <c r="E35" s="10"/>
      <c r="F35" s="10"/>
      <c r="G35" s="10"/>
      <c r="H35" s="10"/>
      <c r="I35" s="10"/>
      <c r="J35" s="10"/>
      <c r="K35" s="10"/>
      <c r="L35" s="10"/>
      <c r="M35" s="10"/>
      <c r="N35" s="10"/>
    </row>
    <row r="36" spans="1:14" x14ac:dyDescent="0.2">
      <c r="A36" s="10"/>
      <c r="B36" s="10"/>
      <c r="C36" s="10"/>
      <c r="D36" s="10"/>
      <c r="E36" s="10"/>
      <c r="F36" s="10"/>
      <c r="G36" s="10"/>
      <c r="H36" s="10"/>
      <c r="I36" s="10"/>
      <c r="J36" s="10"/>
      <c r="K36" s="10"/>
      <c r="L36" s="10"/>
      <c r="M36" s="10"/>
      <c r="N36" s="10"/>
    </row>
    <row r="37" spans="1:14" x14ac:dyDescent="0.2">
      <c r="A37" s="10"/>
      <c r="B37" s="10"/>
      <c r="C37" s="10"/>
      <c r="D37" s="10"/>
      <c r="E37" s="10"/>
      <c r="F37" s="10"/>
      <c r="G37" s="10"/>
      <c r="H37" s="10"/>
      <c r="I37" s="10"/>
      <c r="J37" s="10"/>
      <c r="K37" s="10"/>
      <c r="L37" s="10"/>
      <c r="M37" s="10"/>
      <c r="N37" s="10"/>
    </row>
    <row r="38" spans="1:14" x14ac:dyDescent="0.2">
      <c r="A38" s="10"/>
      <c r="B38" s="10"/>
      <c r="C38" s="10"/>
      <c r="D38" s="10"/>
      <c r="E38" s="10"/>
      <c r="F38" s="10"/>
      <c r="G38" s="10"/>
      <c r="H38" s="10"/>
      <c r="I38" s="10"/>
      <c r="J38" s="10"/>
      <c r="K38" s="10"/>
      <c r="L38" s="10"/>
      <c r="M38" s="10"/>
      <c r="N38" s="10"/>
    </row>
    <row r="39" spans="1:14" x14ac:dyDescent="0.2">
      <c r="A39" s="10"/>
      <c r="B39" s="10"/>
      <c r="C39" s="10"/>
      <c r="D39" s="10"/>
      <c r="E39" s="10"/>
      <c r="F39" s="10"/>
      <c r="G39" s="10"/>
      <c r="H39" s="10"/>
      <c r="I39" s="10"/>
      <c r="J39" s="10"/>
      <c r="K39" s="10"/>
      <c r="L39" s="10"/>
      <c r="M39" s="10"/>
      <c r="N39" s="10"/>
    </row>
    <row r="40" spans="1:14" x14ac:dyDescent="0.2">
      <c r="A40" s="10"/>
      <c r="B40" s="10"/>
      <c r="C40" s="10"/>
      <c r="D40" s="10"/>
      <c r="E40" s="10"/>
      <c r="F40" s="10"/>
      <c r="G40" s="10"/>
      <c r="H40" s="10"/>
      <c r="I40" s="10"/>
      <c r="J40" s="10"/>
      <c r="K40" s="10"/>
      <c r="L40" s="10"/>
      <c r="M40" s="10"/>
      <c r="N40" s="10"/>
    </row>
    <row r="41" spans="1:14" x14ac:dyDescent="0.2">
      <c r="A41" s="10"/>
      <c r="B41" s="10"/>
      <c r="C41" s="10"/>
      <c r="D41" s="10"/>
      <c r="E41" s="10"/>
      <c r="F41" s="10"/>
      <c r="G41" s="10"/>
      <c r="H41" s="10"/>
      <c r="I41" s="10"/>
      <c r="J41" s="10"/>
      <c r="K41" s="10"/>
      <c r="L41" s="10"/>
      <c r="M41" s="10"/>
      <c r="N41" s="10"/>
    </row>
    <row r="42" spans="1:14" x14ac:dyDescent="0.2">
      <c r="A42" s="10"/>
      <c r="B42" s="10"/>
      <c r="C42" s="10"/>
      <c r="D42" s="10"/>
      <c r="E42" s="10"/>
      <c r="F42" s="10"/>
      <c r="G42" s="10"/>
      <c r="H42" s="10"/>
      <c r="I42" s="10"/>
      <c r="J42" s="10"/>
      <c r="K42" s="10"/>
      <c r="L42" s="10"/>
      <c r="M42" s="10"/>
      <c r="N42" s="10"/>
    </row>
    <row r="43" spans="1:14" x14ac:dyDescent="0.2">
      <c r="A43" s="10"/>
      <c r="B43" s="10"/>
      <c r="C43" s="10"/>
      <c r="D43" s="10"/>
      <c r="E43" s="10"/>
      <c r="F43" s="10"/>
      <c r="G43" s="10"/>
      <c r="H43" s="10"/>
      <c r="I43" s="10"/>
      <c r="J43" s="10"/>
      <c r="K43" s="10"/>
      <c r="L43" s="10"/>
      <c r="M43" s="10"/>
      <c r="N43" s="10"/>
    </row>
    <row r="44" spans="1:14" x14ac:dyDescent="0.2">
      <c r="A44" s="10"/>
      <c r="B44" s="10"/>
      <c r="C44" s="10"/>
      <c r="D44" s="10"/>
      <c r="E44" s="10"/>
      <c r="F44" s="10"/>
      <c r="G44" s="10"/>
      <c r="H44" s="10"/>
      <c r="I44" s="10"/>
      <c r="J44" s="10"/>
      <c r="K44" s="10"/>
      <c r="L44" s="10"/>
      <c r="M44" s="10"/>
      <c r="N44" s="10"/>
    </row>
    <row r="45" spans="1:14" x14ac:dyDescent="0.2">
      <c r="A45" s="10"/>
      <c r="B45" s="10"/>
      <c r="C45" s="10"/>
      <c r="D45" s="10"/>
      <c r="E45" s="10"/>
      <c r="F45" s="10"/>
      <c r="G45" s="10"/>
      <c r="H45" s="10"/>
      <c r="I45" s="10"/>
      <c r="J45" s="10"/>
      <c r="K45" s="10"/>
      <c r="L45" s="10"/>
      <c r="M45" s="10"/>
      <c r="N45" s="10"/>
    </row>
    <row r="46" spans="1:14" x14ac:dyDescent="0.2">
      <c r="A46" s="10"/>
      <c r="B46" s="10"/>
      <c r="C46" s="10"/>
      <c r="D46" s="10"/>
      <c r="E46" s="10"/>
      <c r="F46" s="10"/>
      <c r="G46" s="10"/>
      <c r="H46" s="10"/>
      <c r="I46" s="10"/>
      <c r="J46" s="10"/>
      <c r="K46" s="10"/>
      <c r="L46" s="10"/>
      <c r="M46" s="10"/>
      <c r="N46" s="10"/>
    </row>
    <row r="47" spans="1:14" x14ac:dyDescent="0.2">
      <c r="A47" s="10"/>
      <c r="B47" s="10"/>
      <c r="C47" s="10"/>
      <c r="D47" s="10"/>
      <c r="E47" s="10"/>
      <c r="F47" s="10"/>
      <c r="G47" s="10"/>
      <c r="H47" s="10"/>
      <c r="I47" s="10"/>
      <c r="J47" s="10"/>
      <c r="K47" s="10"/>
      <c r="L47" s="10"/>
      <c r="M47" s="10"/>
      <c r="N47" s="10"/>
    </row>
    <row r="48" spans="1:14" x14ac:dyDescent="0.2">
      <c r="A48" s="10"/>
      <c r="B48" s="10"/>
      <c r="C48" s="10"/>
      <c r="D48" s="10"/>
      <c r="E48" s="10"/>
      <c r="F48" s="10"/>
      <c r="G48" s="10"/>
      <c r="H48" s="10"/>
      <c r="I48" s="10"/>
      <c r="J48" s="10"/>
      <c r="K48" s="10"/>
      <c r="L48" s="10"/>
      <c r="M48" s="10"/>
      <c r="N48" s="10"/>
    </row>
    <row r="49" spans="1:14" x14ac:dyDescent="0.2">
      <c r="A49" s="10"/>
      <c r="B49" s="10"/>
      <c r="C49" s="10"/>
      <c r="D49" s="10"/>
      <c r="E49" s="10"/>
      <c r="F49" s="10"/>
      <c r="G49" s="10"/>
      <c r="H49" s="10"/>
      <c r="I49" s="10"/>
      <c r="J49" s="10"/>
      <c r="K49" s="10"/>
      <c r="L49" s="10"/>
      <c r="M49" s="10"/>
      <c r="N49" s="10"/>
    </row>
    <row r="50" spans="1:14" x14ac:dyDescent="0.2">
      <c r="A50" s="10"/>
      <c r="B50" s="10"/>
      <c r="C50" s="10"/>
      <c r="D50" s="10"/>
      <c r="E50" s="10"/>
      <c r="F50" s="10"/>
      <c r="G50" s="10"/>
      <c r="H50" s="10"/>
      <c r="I50" s="10"/>
      <c r="J50" s="10"/>
      <c r="K50" s="10"/>
      <c r="L50" s="10"/>
      <c r="M50" s="10"/>
      <c r="N50" s="10"/>
    </row>
    <row r="51" spans="1:14" x14ac:dyDescent="0.2">
      <c r="A51" s="10"/>
      <c r="B51" s="10"/>
      <c r="C51" s="10"/>
      <c r="D51" s="10"/>
      <c r="E51" s="10"/>
      <c r="F51" s="10"/>
      <c r="G51" s="10"/>
      <c r="H51" s="10"/>
      <c r="I51" s="10"/>
      <c r="J51" s="10"/>
      <c r="K51" s="10"/>
      <c r="L51" s="10"/>
      <c r="M51" s="10"/>
      <c r="N51" s="10"/>
    </row>
    <row r="52" spans="1:14" x14ac:dyDescent="0.2">
      <c r="A52" s="10"/>
      <c r="B52" s="10"/>
      <c r="C52" s="10"/>
      <c r="D52" s="10"/>
      <c r="E52" s="10"/>
      <c r="F52" s="10"/>
      <c r="G52" s="10"/>
      <c r="H52" s="10"/>
      <c r="I52" s="10"/>
      <c r="J52" s="10"/>
      <c r="K52" s="10"/>
      <c r="L52" s="10"/>
      <c r="M52" s="10"/>
      <c r="N52" s="10"/>
    </row>
    <row r="53" spans="1:14" x14ac:dyDescent="0.2">
      <c r="A53" s="10"/>
      <c r="B53" s="10"/>
      <c r="C53" s="10"/>
      <c r="D53" s="10"/>
      <c r="E53" s="10"/>
      <c r="F53" s="10"/>
      <c r="G53" s="10"/>
      <c r="H53" s="10"/>
      <c r="I53" s="10"/>
      <c r="J53" s="10"/>
      <c r="K53" s="10"/>
      <c r="L53" s="10"/>
      <c r="M53" s="10"/>
      <c r="N53" s="10"/>
    </row>
    <row r="54" spans="1:14" x14ac:dyDescent="0.2">
      <c r="A54" s="10"/>
      <c r="B54" s="10"/>
      <c r="C54" s="10"/>
      <c r="D54" s="10"/>
      <c r="E54" s="10"/>
      <c r="F54" s="10"/>
      <c r="G54" s="10"/>
      <c r="H54" s="10"/>
      <c r="I54" s="10"/>
      <c r="J54" s="10"/>
      <c r="K54" s="10"/>
      <c r="L54" s="10"/>
      <c r="M54" s="10"/>
      <c r="N54" s="10"/>
    </row>
    <row r="55" spans="1:14" x14ac:dyDescent="0.2">
      <c r="A55" s="10"/>
      <c r="B55" s="10"/>
      <c r="C55" s="10"/>
      <c r="D55" s="10"/>
      <c r="E55" s="10"/>
      <c r="F55" s="10"/>
      <c r="G55" s="10"/>
      <c r="H55" s="10"/>
      <c r="I55" s="10"/>
      <c r="J55" s="10"/>
      <c r="K55" s="10"/>
      <c r="L55" s="10"/>
      <c r="M55" s="10"/>
      <c r="N55" s="10"/>
    </row>
    <row r="56" spans="1:14" x14ac:dyDescent="0.2">
      <c r="A56" s="10"/>
      <c r="B56" s="10"/>
      <c r="C56" s="10"/>
      <c r="D56" s="10"/>
      <c r="E56" s="10"/>
      <c r="F56" s="10"/>
      <c r="G56" s="10"/>
      <c r="H56" s="10"/>
      <c r="I56" s="10"/>
      <c r="J56" s="10"/>
      <c r="K56" s="10"/>
      <c r="L56" s="10"/>
      <c r="M56" s="10"/>
      <c r="N56" s="10"/>
    </row>
    <row r="57" spans="1:14" x14ac:dyDescent="0.2">
      <c r="A57" s="10"/>
      <c r="B57" s="10"/>
      <c r="C57" s="10"/>
      <c r="D57" s="10"/>
      <c r="E57" s="10"/>
      <c r="F57" s="10"/>
      <c r="G57" s="10"/>
      <c r="H57" s="10"/>
      <c r="I57" s="10"/>
      <c r="J57" s="10"/>
      <c r="K57" s="10"/>
      <c r="L57" s="10"/>
      <c r="M57" s="10"/>
      <c r="N57" s="10"/>
    </row>
    <row r="58" spans="1:14" x14ac:dyDescent="0.2">
      <c r="A58" s="10"/>
      <c r="B58" s="10"/>
      <c r="C58" s="10"/>
      <c r="D58" s="10"/>
      <c r="E58" s="10"/>
      <c r="F58" s="10"/>
      <c r="G58" s="10"/>
      <c r="H58" s="10"/>
      <c r="I58" s="10"/>
      <c r="J58" s="10"/>
      <c r="K58" s="10"/>
      <c r="L58" s="10"/>
      <c r="M58" s="10"/>
      <c r="N58" s="10"/>
    </row>
    <row r="59" spans="1:14" x14ac:dyDescent="0.2">
      <c r="A59" s="10"/>
      <c r="B59" s="10"/>
      <c r="C59" s="10"/>
      <c r="D59" s="10"/>
      <c r="E59" s="10"/>
      <c r="F59" s="10"/>
      <c r="G59" s="10"/>
      <c r="H59" s="10"/>
      <c r="I59" s="10"/>
      <c r="J59" s="10"/>
      <c r="K59" s="10"/>
      <c r="L59" s="10"/>
      <c r="M59" s="10"/>
      <c r="N59" s="10"/>
    </row>
    <row r="60" spans="1:14" x14ac:dyDescent="0.2">
      <c r="A60" s="10"/>
      <c r="B60" s="10"/>
      <c r="C60" s="10"/>
      <c r="D60" s="10"/>
      <c r="E60" s="10"/>
      <c r="F60" s="10"/>
      <c r="G60" s="10"/>
      <c r="H60" s="10"/>
      <c r="I60" s="10"/>
      <c r="J60" s="10"/>
      <c r="K60" s="10"/>
      <c r="L60" s="10"/>
      <c r="M60" s="10"/>
      <c r="N60" s="10"/>
    </row>
    <row r="61" spans="1:14" x14ac:dyDescent="0.2">
      <c r="A61" s="10"/>
      <c r="B61" s="10"/>
      <c r="C61" s="10"/>
      <c r="D61" s="10"/>
      <c r="E61" s="10"/>
      <c r="F61" s="10"/>
      <c r="G61" s="10"/>
      <c r="H61" s="10"/>
      <c r="I61" s="10"/>
      <c r="J61" s="10"/>
      <c r="K61" s="10"/>
      <c r="L61" s="10"/>
      <c r="M61" s="10"/>
      <c r="N61" s="10"/>
    </row>
    <row r="62" spans="1:14" x14ac:dyDescent="0.2">
      <c r="A62" s="10"/>
      <c r="B62" s="10"/>
      <c r="C62" s="10"/>
      <c r="D62" s="10"/>
      <c r="E62" s="10"/>
      <c r="F62" s="10"/>
      <c r="G62" s="10"/>
      <c r="H62" s="10"/>
      <c r="I62" s="10"/>
      <c r="J62" s="10"/>
      <c r="K62" s="10"/>
      <c r="L62" s="10"/>
      <c r="M62" s="10"/>
      <c r="N62" s="10"/>
    </row>
    <row r="63" spans="1:14" x14ac:dyDescent="0.2">
      <c r="A63" s="10"/>
      <c r="B63" s="10"/>
      <c r="C63" s="10"/>
      <c r="D63" s="10"/>
      <c r="E63" s="10"/>
      <c r="F63" s="10"/>
      <c r="G63" s="10"/>
      <c r="H63" s="10"/>
      <c r="I63" s="10"/>
      <c r="J63" s="10"/>
      <c r="K63" s="10"/>
      <c r="L63" s="10"/>
      <c r="M63" s="10"/>
      <c r="N63" s="10"/>
    </row>
    <row r="64" spans="1:14" x14ac:dyDescent="0.2">
      <c r="A64" s="10"/>
      <c r="B64" s="10"/>
      <c r="C64" s="10"/>
      <c r="D64" s="10"/>
      <c r="E64" s="10"/>
      <c r="F64" s="10"/>
      <c r="G64" s="10"/>
      <c r="H64" s="10"/>
      <c r="I64" s="10"/>
      <c r="J64" s="10"/>
      <c r="K64" s="10"/>
      <c r="L64" s="10"/>
      <c r="M64" s="10"/>
      <c r="N64" s="10"/>
    </row>
    <row r="65" spans="1:14" x14ac:dyDescent="0.2">
      <c r="A65" s="10"/>
      <c r="B65" s="10"/>
      <c r="C65" s="10"/>
      <c r="D65" s="10"/>
      <c r="E65" s="10"/>
      <c r="F65" s="10"/>
      <c r="G65" s="10"/>
      <c r="H65" s="10"/>
      <c r="I65" s="10"/>
      <c r="J65" s="10"/>
      <c r="K65" s="10"/>
      <c r="L65" s="10"/>
      <c r="M65" s="10"/>
      <c r="N65" s="10"/>
    </row>
    <row r="66" spans="1:14" x14ac:dyDescent="0.2">
      <c r="A66" s="10"/>
      <c r="B66" s="10"/>
      <c r="C66" s="10"/>
      <c r="D66" s="10"/>
      <c r="E66" s="10"/>
      <c r="F66" s="10"/>
      <c r="G66" s="10"/>
      <c r="H66" s="10"/>
      <c r="I66" s="10"/>
      <c r="J66" s="10"/>
      <c r="K66" s="10"/>
      <c r="L66" s="10"/>
      <c r="M66" s="10"/>
      <c r="N66" s="10"/>
    </row>
    <row r="67" spans="1:14" x14ac:dyDescent="0.2">
      <c r="A67" s="10"/>
      <c r="B67" s="10"/>
      <c r="C67" s="10"/>
      <c r="D67" s="10"/>
      <c r="E67" s="10"/>
      <c r="F67" s="10"/>
      <c r="G67" s="10"/>
      <c r="H67" s="10"/>
      <c r="I67" s="10"/>
      <c r="J67" s="10"/>
      <c r="K67" s="10"/>
      <c r="L67" s="10"/>
      <c r="M67" s="10"/>
      <c r="N67" s="10"/>
    </row>
    <row r="68" spans="1:14" x14ac:dyDescent="0.2">
      <c r="A68" s="10"/>
      <c r="B68" s="10"/>
      <c r="C68" s="10"/>
      <c r="D68" s="10"/>
      <c r="E68" s="10"/>
      <c r="F68" s="10"/>
      <c r="G68" s="10"/>
      <c r="H68" s="10"/>
      <c r="I68" s="10"/>
      <c r="J68" s="10"/>
      <c r="K68" s="10"/>
      <c r="L68" s="10"/>
      <c r="M68" s="10"/>
      <c r="N68" s="10"/>
    </row>
    <row r="69" spans="1:14" x14ac:dyDescent="0.2">
      <c r="A69" s="10"/>
      <c r="B69" s="10"/>
      <c r="C69" s="10"/>
      <c r="D69" s="10"/>
      <c r="E69" s="10"/>
      <c r="F69" s="10"/>
      <c r="G69" s="10"/>
      <c r="H69" s="10"/>
      <c r="I69" s="10"/>
      <c r="J69" s="10"/>
      <c r="K69" s="10"/>
      <c r="L69" s="10"/>
      <c r="M69" s="10"/>
      <c r="N69" s="10"/>
    </row>
    <row r="70" spans="1:14" x14ac:dyDescent="0.2">
      <c r="A70" s="10"/>
      <c r="B70" s="10"/>
      <c r="C70" s="10"/>
      <c r="D70" s="10"/>
      <c r="E70" s="10"/>
      <c r="F70" s="10"/>
      <c r="G70" s="10"/>
      <c r="H70" s="10"/>
      <c r="I70" s="10"/>
      <c r="J70" s="10"/>
      <c r="K70" s="10"/>
      <c r="L70" s="10"/>
      <c r="M70" s="10"/>
      <c r="N70" s="10"/>
    </row>
    <row r="71" spans="1:14" x14ac:dyDescent="0.2">
      <c r="A71" s="10"/>
      <c r="B71" s="10"/>
      <c r="C71" s="10"/>
      <c r="D71" s="10"/>
      <c r="E71" s="10"/>
      <c r="F71" s="10"/>
      <c r="G71" s="10"/>
      <c r="H71" s="10"/>
      <c r="I71" s="10"/>
      <c r="J71" s="10"/>
      <c r="K71" s="10"/>
      <c r="L71" s="10"/>
      <c r="M71" s="10"/>
      <c r="N71" s="10"/>
    </row>
    <row r="72" spans="1:14" x14ac:dyDescent="0.2">
      <c r="A72" s="10"/>
      <c r="B72" s="10"/>
      <c r="C72" s="10"/>
      <c r="D72" s="10"/>
      <c r="E72" s="10"/>
      <c r="F72" s="10"/>
      <c r="G72" s="10"/>
      <c r="H72" s="10"/>
      <c r="I72" s="10"/>
      <c r="J72" s="10"/>
      <c r="K72" s="10"/>
      <c r="L72" s="10"/>
      <c r="M72" s="10"/>
      <c r="N72" s="10"/>
    </row>
    <row r="73" spans="1:14" x14ac:dyDescent="0.2">
      <c r="A73" s="10"/>
      <c r="B73" s="10"/>
      <c r="C73" s="10"/>
      <c r="D73" s="10"/>
      <c r="E73" s="10"/>
      <c r="F73" s="10"/>
      <c r="G73" s="10"/>
      <c r="H73" s="10"/>
      <c r="I73" s="10"/>
      <c r="J73" s="10"/>
      <c r="K73" s="10"/>
      <c r="L73" s="10"/>
      <c r="M73" s="10"/>
      <c r="N73" s="10"/>
    </row>
    <row r="74" spans="1:14" x14ac:dyDescent="0.2">
      <c r="A74" s="10"/>
      <c r="B74" s="10"/>
      <c r="C74" s="10"/>
      <c r="D74" s="10"/>
      <c r="E74" s="10"/>
      <c r="F74" s="10"/>
      <c r="G74" s="10"/>
      <c r="H74" s="10"/>
      <c r="I74" s="10"/>
      <c r="J74" s="10"/>
      <c r="K74" s="10"/>
      <c r="L74" s="10"/>
      <c r="M74" s="10"/>
      <c r="N74" s="10"/>
    </row>
    <row r="75" spans="1:14" x14ac:dyDescent="0.2">
      <c r="A75" s="10"/>
      <c r="B75" s="10"/>
      <c r="C75" s="10"/>
      <c r="D75" s="10"/>
      <c r="E75" s="10"/>
      <c r="F75" s="10"/>
      <c r="G75" s="10"/>
      <c r="H75" s="10"/>
      <c r="I75" s="10"/>
      <c r="J75" s="10"/>
      <c r="K75" s="10"/>
      <c r="L75" s="10"/>
      <c r="M75" s="10"/>
      <c r="N75" s="10"/>
    </row>
    <row r="76" spans="1:14" x14ac:dyDescent="0.2">
      <c r="A76" s="10"/>
      <c r="B76" s="10"/>
      <c r="C76" s="10"/>
      <c r="D76" s="10"/>
      <c r="E76" s="10"/>
      <c r="F76" s="10"/>
      <c r="G76" s="10"/>
      <c r="H76" s="10"/>
      <c r="I76" s="10"/>
      <c r="J76" s="10"/>
      <c r="K76" s="10"/>
      <c r="L76" s="10"/>
      <c r="M76" s="10"/>
      <c r="N76" s="10"/>
    </row>
    <row r="77" spans="1:14" x14ac:dyDescent="0.2">
      <c r="A77" s="10"/>
      <c r="B77" s="10"/>
      <c r="C77" s="10"/>
      <c r="D77" s="10"/>
      <c r="E77" s="10"/>
      <c r="F77" s="10"/>
      <c r="G77" s="10"/>
      <c r="H77" s="10"/>
      <c r="I77" s="10"/>
      <c r="J77" s="10"/>
      <c r="K77" s="10"/>
      <c r="L77" s="10"/>
      <c r="M77" s="10"/>
      <c r="N77" s="10"/>
    </row>
    <row r="78" spans="1:14" x14ac:dyDescent="0.2">
      <c r="A78" s="10"/>
      <c r="B78" s="10"/>
      <c r="C78" s="10"/>
      <c r="D78" s="10"/>
      <c r="E78" s="10"/>
      <c r="F78" s="10"/>
      <c r="G78" s="10"/>
      <c r="H78" s="10"/>
      <c r="I78" s="10"/>
      <c r="J78" s="10"/>
      <c r="K78" s="10"/>
      <c r="L78" s="10"/>
      <c r="M78" s="10"/>
      <c r="N78" s="10"/>
    </row>
    <row r="79" spans="1:14" x14ac:dyDescent="0.2">
      <c r="A79" s="10"/>
      <c r="B79" s="10"/>
      <c r="C79" s="10"/>
      <c r="D79" s="10"/>
      <c r="E79" s="10"/>
      <c r="F79" s="10"/>
      <c r="G79" s="10"/>
      <c r="H79" s="10"/>
      <c r="I79" s="10"/>
      <c r="J79" s="10"/>
      <c r="K79" s="10"/>
      <c r="L79" s="10"/>
      <c r="M79" s="10"/>
      <c r="N79" s="10"/>
    </row>
    <row r="80" spans="1:14" x14ac:dyDescent="0.2">
      <c r="A80" s="10"/>
      <c r="B80" s="10"/>
      <c r="C80" s="10"/>
      <c r="D80" s="10"/>
      <c r="E80" s="10"/>
      <c r="F80" s="10"/>
      <c r="G80" s="10"/>
      <c r="H80" s="10"/>
      <c r="I80" s="10"/>
      <c r="J80" s="10"/>
      <c r="K80" s="10"/>
      <c r="L80" s="10"/>
      <c r="M80" s="10"/>
      <c r="N80" s="10"/>
    </row>
    <row r="81" spans="1:14" x14ac:dyDescent="0.2">
      <c r="A81" s="10"/>
      <c r="B81" s="10"/>
      <c r="C81" s="10"/>
      <c r="D81" s="10"/>
      <c r="E81" s="10"/>
      <c r="F81" s="10"/>
      <c r="G81" s="10"/>
      <c r="H81" s="10"/>
      <c r="I81" s="10"/>
      <c r="J81" s="10"/>
      <c r="K81" s="10"/>
      <c r="L81" s="10"/>
      <c r="M81" s="10"/>
      <c r="N81" s="10"/>
    </row>
    <row r="82" spans="1:14" x14ac:dyDescent="0.2">
      <c r="A82" s="10"/>
      <c r="B82" s="10"/>
      <c r="C82" s="10"/>
      <c r="D82" s="10"/>
      <c r="E82" s="10"/>
      <c r="F82" s="10"/>
      <c r="G82" s="10"/>
      <c r="H82" s="10"/>
      <c r="I82" s="10"/>
      <c r="J82" s="10"/>
      <c r="K82" s="10"/>
      <c r="L82" s="10"/>
      <c r="M82" s="10"/>
      <c r="N82" s="10"/>
    </row>
    <row r="83" spans="1:14" x14ac:dyDescent="0.2">
      <c r="A83" s="10"/>
      <c r="B83" s="10"/>
      <c r="C83" s="10"/>
      <c r="D83" s="10"/>
      <c r="E83" s="10"/>
      <c r="F83" s="10"/>
      <c r="G83" s="10"/>
      <c r="H83" s="10"/>
      <c r="I83" s="10"/>
      <c r="J83" s="10"/>
      <c r="K83" s="10"/>
      <c r="L83" s="10"/>
      <c r="M83" s="10"/>
      <c r="N83" s="10"/>
    </row>
    <row r="84" spans="1:14" x14ac:dyDescent="0.2">
      <c r="A84" s="10"/>
      <c r="B84" s="10"/>
      <c r="C84" s="10"/>
      <c r="D84" s="10"/>
      <c r="E84" s="10"/>
      <c r="F84" s="10"/>
      <c r="G84" s="10"/>
      <c r="H84" s="10"/>
      <c r="I84" s="10"/>
      <c r="J84" s="10"/>
      <c r="K84" s="10"/>
      <c r="L84" s="10"/>
      <c r="M84" s="10"/>
      <c r="N84" s="10"/>
    </row>
    <row r="85" spans="1:14" x14ac:dyDescent="0.2">
      <c r="A85" s="10"/>
      <c r="B85" s="10"/>
      <c r="C85" s="10"/>
      <c r="D85" s="10"/>
      <c r="E85" s="10"/>
      <c r="F85" s="10"/>
      <c r="G85" s="10"/>
      <c r="H85" s="10"/>
      <c r="I85" s="10"/>
      <c r="J85" s="10"/>
      <c r="K85" s="10"/>
      <c r="L85" s="10"/>
      <c r="M85" s="10"/>
      <c r="N85" s="10"/>
    </row>
    <row r="86" spans="1:14" x14ac:dyDescent="0.2">
      <c r="A86" s="10"/>
      <c r="B86" s="10"/>
      <c r="C86" s="10"/>
      <c r="D86" s="10"/>
      <c r="E86" s="10"/>
      <c r="F86" s="10"/>
      <c r="G86" s="10"/>
      <c r="H86" s="10"/>
      <c r="I86" s="10"/>
      <c r="J86" s="10"/>
      <c r="K86" s="10"/>
      <c r="L86" s="10"/>
      <c r="M86" s="10"/>
      <c r="N86" s="10"/>
    </row>
    <row r="87" spans="1:14" x14ac:dyDescent="0.2">
      <c r="A87" s="10"/>
      <c r="B87" s="10"/>
      <c r="C87" s="10"/>
      <c r="D87" s="10"/>
      <c r="E87" s="10"/>
      <c r="F87" s="10"/>
      <c r="G87" s="10"/>
      <c r="H87" s="10"/>
      <c r="I87" s="10"/>
      <c r="J87" s="10"/>
      <c r="K87" s="10"/>
      <c r="L87" s="10"/>
      <c r="M87" s="10"/>
      <c r="N87" s="10"/>
    </row>
    <row r="88" spans="1:14" x14ac:dyDescent="0.2">
      <c r="A88" s="10"/>
      <c r="B88" s="10"/>
      <c r="C88" s="10"/>
      <c r="D88" s="10"/>
      <c r="E88" s="10"/>
      <c r="F88" s="10"/>
      <c r="G88" s="10"/>
      <c r="H88" s="10"/>
      <c r="I88" s="10"/>
      <c r="J88" s="10"/>
      <c r="K88" s="10"/>
      <c r="L88" s="10"/>
      <c r="M88" s="10"/>
      <c r="N88" s="10"/>
    </row>
    <row r="89" spans="1:14" x14ac:dyDescent="0.2">
      <c r="A89" s="10"/>
      <c r="B89" s="10"/>
      <c r="C89" s="10"/>
      <c r="D89" s="10"/>
      <c r="E89" s="10"/>
      <c r="F89" s="10"/>
      <c r="G89" s="10"/>
      <c r="H89" s="10"/>
      <c r="I89" s="10"/>
      <c r="J89" s="10"/>
      <c r="K89" s="10"/>
      <c r="L89" s="10"/>
      <c r="M89" s="10"/>
      <c r="N89" s="10"/>
    </row>
    <row r="90" spans="1:14" x14ac:dyDescent="0.2">
      <c r="A90" s="10"/>
      <c r="B90" s="10"/>
      <c r="C90" s="10"/>
      <c r="D90" s="10"/>
      <c r="E90" s="10"/>
      <c r="F90" s="10"/>
      <c r="G90" s="10"/>
      <c r="H90" s="10"/>
      <c r="I90" s="10"/>
      <c r="J90" s="10"/>
      <c r="K90" s="10"/>
      <c r="L90" s="10"/>
      <c r="M90" s="10"/>
      <c r="N90" s="10"/>
    </row>
    <row r="91" spans="1:14" x14ac:dyDescent="0.2">
      <c r="A91" s="10"/>
      <c r="B91" s="10"/>
      <c r="C91" s="10"/>
      <c r="D91" s="10"/>
      <c r="E91" s="10"/>
      <c r="F91" s="10"/>
      <c r="G91" s="10"/>
      <c r="H91" s="10"/>
      <c r="I91" s="10"/>
      <c r="J91" s="10"/>
      <c r="K91" s="10"/>
      <c r="L91" s="10"/>
      <c r="M91" s="10"/>
      <c r="N91" s="10"/>
    </row>
    <row r="92" spans="1:14" x14ac:dyDescent="0.2">
      <c r="A92" s="10"/>
      <c r="B92" s="10"/>
      <c r="C92" s="10"/>
      <c r="D92" s="10"/>
      <c r="E92" s="10"/>
      <c r="F92" s="10"/>
      <c r="G92" s="10"/>
      <c r="H92" s="10"/>
      <c r="I92" s="10"/>
      <c r="J92" s="10"/>
      <c r="K92" s="10"/>
      <c r="L92" s="10"/>
      <c r="M92" s="10"/>
      <c r="N92" s="10"/>
    </row>
    <row r="93" spans="1:14" x14ac:dyDescent="0.2">
      <c r="A93" s="10"/>
      <c r="B93" s="10"/>
      <c r="C93" s="10"/>
      <c r="D93" s="10"/>
      <c r="E93" s="10"/>
      <c r="F93" s="10"/>
      <c r="G93" s="10"/>
      <c r="H93" s="10"/>
      <c r="I93" s="10"/>
      <c r="J93" s="10"/>
      <c r="K93" s="10"/>
      <c r="L93" s="10"/>
      <c r="M93" s="10"/>
      <c r="N93" s="10"/>
    </row>
    <row r="94" spans="1:14" x14ac:dyDescent="0.2">
      <c r="A94" s="10"/>
      <c r="B94" s="10"/>
      <c r="C94" s="10"/>
      <c r="D94" s="10"/>
      <c r="E94" s="10"/>
      <c r="F94" s="10"/>
      <c r="G94" s="10"/>
      <c r="H94" s="10"/>
      <c r="I94" s="10"/>
      <c r="J94" s="10"/>
      <c r="K94" s="10"/>
      <c r="L94" s="10"/>
      <c r="M94" s="10"/>
      <c r="N94" s="10"/>
    </row>
    <row r="95" spans="1:14" x14ac:dyDescent="0.2">
      <c r="A95" s="10"/>
      <c r="B95" s="10"/>
      <c r="C95" s="10"/>
      <c r="D95" s="10"/>
      <c r="E95" s="10"/>
      <c r="F95" s="10"/>
      <c r="G95" s="10"/>
      <c r="H95" s="10"/>
      <c r="I95" s="10"/>
      <c r="J95" s="10"/>
      <c r="K95" s="10"/>
      <c r="L95" s="10"/>
      <c r="M95" s="10"/>
      <c r="N95" s="10"/>
    </row>
    <row r="96" spans="1:14" x14ac:dyDescent="0.2">
      <c r="A96" s="10"/>
      <c r="B96" s="10"/>
      <c r="C96" s="10"/>
      <c r="D96" s="10"/>
      <c r="E96" s="10"/>
      <c r="F96" s="10"/>
      <c r="G96" s="10"/>
      <c r="H96" s="10"/>
      <c r="I96" s="10"/>
      <c r="J96" s="10"/>
      <c r="K96" s="10"/>
      <c r="L96" s="10"/>
      <c r="M96" s="10"/>
      <c r="N96" s="10"/>
    </row>
    <row r="97" spans="1:14" x14ac:dyDescent="0.2">
      <c r="A97" s="10"/>
      <c r="B97" s="10"/>
      <c r="C97" s="10"/>
      <c r="D97" s="10"/>
      <c r="E97" s="10"/>
      <c r="F97" s="10"/>
      <c r="G97" s="10"/>
      <c r="H97" s="10"/>
      <c r="I97" s="10"/>
      <c r="J97" s="10"/>
      <c r="K97" s="10"/>
      <c r="L97" s="10"/>
      <c r="M97" s="10"/>
      <c r="N97" s="10"/>
    </row>
    <row r="98" spans="1:14" x14ac:dyDescent="0.2">
      <c r="A98" s="10"/>
      <c r="B98" s="10"/>
      <c r="C98" s="10"/>
      <c r="D98" s="10"/>
      <c r="E98" s="10"/>
      <c r="F98" s="10"/>
      <c r="G98" s="10"/>
      <c r="H98" s="10"/>
      <c r="I98" s="10"/>
      <c r="J98" s="10"/>
      <c r="K98" s="10"/>
      <c r="L98" s="10"/>
      <c r="M98" s="10"/>
      <c r="N98" s="10"/>
    </row>
    <row r="99" spans="1:14" x14ac:dyDescent="0.2">
      <c r="A99" s="10"/>
      <c r="B99" s="10"/>
      <c r="C99" s="10"/>
      <c r="D99" s="10"/>
      <c r="E99" s="10"/>
      <c r="F99" s="10"/>
      <c r="G99" s="10"/>
      <c r="H99" s="10"/>
      <c r="I99" s="10"/>
      <c r="J99" s="10"/>
      <c r="K99" s="10"/>
      <c r="L99" s="10"/>
      <c r="M99" s="10"/>
      <c r="N99" s="10"/>
    </row>
    <row r="100" spans="1:14" x14ac:dyDescent="0.2">
      <c r="A100" s="10"/>
      <c r="B100" s="10"/>
      <c r="C100" s="10"/>
      <c r="D100" s="10"/>
      <c r="E100" s="10"/>
      <c r="F100" s="10"/>
      <c r="G100" s="10"/>
      <c r="H100" s="10"/>
      <c r="I100" s="10"/>
      <c r="J100" s="10"/>
      <c r="K100" s="10"/>
      <c r="L100" s="10"/>
      <c r="M100" s="10"/>
      <c r="N100" s="10"/>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ED1F2-092D-7B43-82B7-40B6E0FF3BD3}">
  <sheetPr>
    <tabColor rgb="FF375623"/>
  </sheetPr>
  <dimension ref="A1:N100"/>
  <sheetViews>
    <sheetView showGridLines="0" topLeftCell="B4" workbookViewId="0">
      <pane xSplit="1" ySplit="1" topLeftCell="C11" activePane="bottomRight" state="frozen"/>
      <selection activeCell="B4" sqref="B4"/>
      <selection pane="topRight" activeCell="C4" sqref="C4"/>
      <selection pane="bottomLeft" activeCell="B5" sqref="B5"/>
      <selection pane="bottomRight" activeCell="E13" sqref="E13"/>
    </sheetView>
  </sheetViews>
  <sheetFormatPr baseColWidth="10" defaultRowHeight="16" x14ac:dyDescent="0.2"/>
  <cols>
    <col min="1" max="1" width="7" customWidth="1"/>
    <col min="2" max="2" width="24.1640625" customWidth="1"/>
    <col min="3" max="4" width="15.83203125" customWidth="1"/>
    <col min="5" max="6" width="18.33203125" customWidth="1"/>
    <col min="7" max="8" width="20" customWidth="1"/>
    <col min="9" max="9" width="18.33203125" customWidth="1"/>
    <col min="10" max="10" width="26.6640625" customWidth="1"/>
    <col min="11" max="11" width="21.6640625" customWidth="1"/>
  </cols>
  <sheetData>
    <row r="1" spans="1:14" ht="18" x14ac:dyDescent="0.2">
      <c r="A1" s="31"/>
      <c r="B1" s="32" t="s">
        <v>60</v>
      </c>
      <c r="C1" s="31"/>
      <c r="D1" s="31"/>
      <c r="E1" s="31"/>
      <c r="F1" s="31"/>
      <c r="G1" s="31"/>
      <c r="H1" s="31"/>
      <c r="I1" s="31"/>
      <c r="J1" s="31"/>
      <c r="K1" s="31"/>
      <c r="L1" s="10"/>
      <c r="M1" s="10"/>
      <c r="N1" s="10"/>
    </row>
    <row r="2" spans="1:14" x14ac:dyDescent="0.2">
      <c r="A2" s="31"/>
      <c r="B2" s="33" t="s">
        <v>61</v>
      </c>
      <c r="C2" s="31"/>
      <c r="D2" s="31"/>
      <c r="E2" s="31"/>
      <c r="F2" s="31"/>
      <c r="G2" s="31"/>
      <c r="H2" s="31"/>
      <c r="I2" s="31"/>
      <c r="J2" s="31"/>
      <c r="K2" s="31"/>
      <c r="L2" s="10"/>
      <c r="M2" s="10"/>
      <c r="N2" s="10"/>
    </row>
    <row r="3" spans="1:14" x14ac:dyDescent="0.2">
      <c r="A3" s="31"/>
      <c r="B3" s="31"/>
      <c r="C3" s="31"/>
      <c r="D3" s="31"/>
      <c r="E3" s="31"/>
      <c r="F3" s="31"/>
      <c r="G3" s="31"/>
      <c r="H3" s="31"/>
      <c r="I3" s="31"/>
      <c r="J3" s="31"/>
      <c r="K3" s="31"/>
      <c r="L3" s="10"/>
      <c r="M3" s="10"/>
      <c r="N3" s="10"/>
    </row>
    <row r="4" spans="1:14" x14ac:dyDescent="0.2">
      <c r="A4" s="10"/>
      <c r="B4" s="10"/>
      <c r="C4" s="10"/>
      <c r="D4" s="10"/>
      <c r="E4" s="10"/>
      <c r="F4" s="10"/>
      <c r="G4" s="10"/>
      <c r="H4" s="10"/>
      <c r="I4" s="10"/>
      <c r="J4" s="10"/>
      <c r="K4" s="10"/>
      <c r="L4" s="10"/>
      <c r="M4" s="10"/>
      <c r="N4" s="10"/>
    </row>
    <row r="5" spans="1:14" x14ac:dyDescent="0.2">
      <c r="A5" s="10"/>
      <c r="B5" s="34" t="s">
        <v>62</v>
      </c>
      <c r="C5" s="18"/>
      <c r="D5" s="18"/>
      <c r="E5" s="18"/>
      <c r="F5" s="18"/>
      <c r="G5" s="18"/>
      <c r="H5" s="18"/>
      <c r="I5" s="18"/>
      <c r="J5" s="18"/>
      <c r="K5" s="18"/>
      <c r="L5" s="10"/>
      <c r="M5" s="10"/>
      <c r="N5" s="10"/>
    </row>
    <row r="6" spans="1:14" x14ac:dyDescent="0.2">
      <c r="A6" s="10"/>
      <c r="B6" s="18" t="s">
        <v>63</v>
      </c>
      <c r="C6" s="18"/>
      <c r="D6" s="18"/>
      <c r="E6" s="18"/>
      <c r="F6" s="18"/>
      <c r="G6" s="18"/>
      <c r="H6" s="18"/>
      <c r="I6" s="18"/>
      <c r="J6" s="18"/>
      <c r="K6" s="18"/>
      <c r="L6" s="10"/>
      <c r="M6" s="10"/>
      <c r="N6" s="10"/>
    </row>
    <row r="7" spans="1:14" x14ac:dyDescent="0.2">
      <c r="A7" s="10"/>
      <c r="B7" s="18" t="s">
        <v>64</v>
      </c>
      <c r="C7" s="18"/>
      <c r="D7" s="18"/>
      <c r="E7" s="18"/>
      <c r="F7" s="18"/>
      <c r="G7" s="18"/>
      <c r="H7" s="18"/>
      <c r="I7" s="18"/>
      <c r="J7" s="18"/>
      <c r="K7" s="18"/>
      <c r="L7" s="10"/>
      <c r="M7" s="10"/>
      <c r="N7" s="10"/>
    </row>
    <row r="8" spans="1:14" x14ac:dyDescent="0.2">
      <c r="A8" s="10"/>
      <c r="B8" s="18" t="s">
        <v>65</v>
      </c>
      <c r="C8" s="18"/>
      <c r="D8" s="18"/>
      <c r="E8" s="18"/>
      <c r="F8" s="18"/>
      <c r="G8" s="18"/>
      <c r="H8" s="18"/>
      <c r="I8" s="18"/>
      <c r="J8" s="18"/>
      <c r="K8" s="18"/>
      <c r="L8" s="10"/>
      <c r="M8" s="10"/>
      <c r="N8" s="10"/>
    </row>
    <row r="9" spans="1:14" x14ac:dyDescent="0.2">
      <c r="A9" s="10"/>
      <c r="B9" s="18" t="s">
        <v>66</v>
      </c>
      <c r="C9" s="18"/>
      <c r="D9" s="18"/>
      <c r="E9" s="18"/>
      <c r="F9" s="18"/>
      <c r="G9" s="18"/>
      <c r="H9" s="18"/>
      <c r="I9" s="18"/>
      <c r="J9" s="18"/>
      <c r="K9" s="18"/>
      <c r="L9" s="10"/>
      <c r="M9" s="10"/>
      <c r="N9" s="10"/>
    </row>
    <row r="10" spans="1:14" x14ac:dyDescent="0.2">
      <c r="A10" s="10"/>
      <c r="B10" s="10"/>
      <c r="C10" s="10"/>
      <c r="D10" s="10"/>
      <c r="E10" s="10"/>
      <c r="F10" s="10"/>
      <c r="G10" s="10"/>
      <c r="H10" s="10"/>
      <c r="I10" s="10"/>
      <c r="J10" s="10"/>
      <c r="K10" s="10"/>
      <c r="L10" s="10"/>
      <c r="M10" s="10"/>
      <c r="N10" s="10"/>
    </row>
    <row r="11" spans="1:14" x14ac:dyDescent="0.2">
      <c r="A11" s="10"/>
      <c r="B11" s="6" t="s">
        <v>67</v>
      </c>
      <c r="C11" s="35"/>
      <c r="D11" s="35"/>
      <c r="E11" s="35"/>
      <c r="F11" s="35"/>
      <c r="G11" s="35"/>
      <c r="H11" s="35"/>
      <c r="I11" s="35"/>
      <c r="J11" s="35"/>
      <c r="K11" s="35"/>
      <c r="L11" s="10"/>
      <c r="M11" s="10"/>
      <c r="N11" s="10"/>
    </row>
    <row r="12" spans="1:14" ht="29" x14ac:dyDescent="0.2">
      <c r="A12" s="36" t="s">
        <v>68</v>
      </c>
      <c r="B12" s="36" t="s">
        <v>69</v>
      </c>
      <c r="C12" s="36" t="s">
        <v>12</v>
      </c>
      <c r="D12" s="36" t="s">
        <v>25</v>
      </c>
      <c r="E12" s="36" t="s">
        <v>70</v>
      </c>
      <c r="F12" s="36" t="s">
        <v>71</v>
      </c>
      <c r="G12" s="36" t="s">
        <v>72</v>
      </c>
      <c r="H12" s="36" t="s">
        <v>73</v>
      </c>
      <c r="I12" s="36" t="s">
        <v>74</v>
      </c>
      <c r="J12" s="36" t="s">
        <v>75</v>
      </c>
      <c r="K12" s="10"/>
      <c r="L12" s="10"/>
      <c r="M12" s="10"/>
      <c r="N12" s="10"/>
    </row>
    <row r="13" spans="1:14" x14ac:dyDescent="0.2">
      <c r="A13" s="37">
        <v>1</v>
      </c>
      <c r="B13" s="4" t="s">
        <v>76</v>
      </c>
      <c r="C13" s="37" t="s">
        <v>17</v>
      </c>
      <c r="D13" s="37" t="s">
        <v>46</v>
      </c>
      <c r="E13" s="38">
        <v>199</v>
      </c>
      <c r="F13" s="37" t="s">
        <v>77</v>
      </c>
      <c r="G13" s="38">
        <v>199</v>
      </c>
      <c r="H13" s="38">
        <v>199</v>
      </c>
      <c r="I13" s="37" t="s">
        <v>29</v>
      </c>
      <c r="J13" s="4" t="s">
        <v>78</v>
      </c>
      <c r="K13" s="10"/>
      <c r="L13" s="10"/>
      <c r="M13" s="10"/>
      <c r="N13" s="10"/>
    </row>
    <row r="14" spans="1:14" x14ac:dyDescent="0.2">
      <c r="A14" s="37">
        <v>2</v>
      </c>
      <c r="B14" s="4" t="s">
        <v>76</v>
      </c>
      <c r="C14" s="37" t="s">
        <v>18</v>
      </c>
      <c r="D14" s="37" t="s">
        <v>56</v>
      </c>
      <c r="E14" s="38">
        <v>589</v>
      </c>
      <c r="F14" s="38">
        <v>7068</v>
      </c>
      <c r="G14" s="38">
        <v>589</v>
      </c>
      <c r="H14" s="38">
        <v>589</v>
      </c>
      <c r="I14" s="37" t="s">
        <v>29</v>
      </c>
      <c r="J14" s="4" t="s">
        <v>78</v>
      </c>
      <c r="K14" s="10"/>
      <c r="L14" s="10"/>
      <c r="M14" s="10"/>
      <c r="N14" s="10"/>
    </row>
    <row r="15" spans="1:14" x14ac:dyDescent="0.2">
      <c r="A15" s="37">
        <v>3</v>
      </c>
      <c r="B15" s="4" t="s">
        <v>76</v>
      </c>
      <c r="C15" s="37" t="s">
        <v>19</v>
      </c>
      <c r="D15" s="37" t="s">
        <v>56</v>
      </c>
      <c r="E15" s="38">
        <v>1349</v>
      </c>
      <c r="F15" s="38">
        <v>16188</v>
      </c>
      <c r="G15" s="38">
        <v>1349</v>
      </c>
      <c r="H15" s="38">
        <v>1349</v>
      </c>
      <c r="I15" s="37" t="s">
        <v>29</v>
      </c>
      <c r="J15" s="4" t="s">
        <v>78</v>
      </c>
      <c r="K15" s="10"/>
      <c r="L15" s="10"/>
      <c r="M15" s="10"/>
      <c r="N15" s="10"/>
    </row>
    <row r="16" spans="1:14" x14ac:dyDescent="0.2">
      <c r="A16" s="42" t="str">
        <f>IF(B16&lt;&gt;"",ROW()-15,"")</f>
        <v/>
      </c>
      <c r="B16" s="13"/>
      <c r="C16" s="14"/>
      <c r="D16" s="14"/>
      <c r="E16" s="43" t="str">
        <f>IF(B16="","",IF(C16="Team",IF(D16="Monthly",'📋 PRICING REFERENCE'!C6,'📋 PRICING REFERENCE'!D6),IF(C16="Department",IF(D16="Monthly",'📋 PRICING REFERENCE'!C7,'📋 PRICING REFERENCE'!D7),IF(C16="Company",IF(D16="Monthly",'📋 PRICING REFERENCE'!C8,'📋 PRICING REFERENCE'!D8),""))))</f>
        <v/>
      </c>
      <c r="F16" s="43" t="str">
        <f>IF(B16="","",IF(D16="Annual",IF(C16="Team",'📋 PRICING REFERENCE'!E6,IF(C16="Department",'📋 PRICING REFERENCE'!E7,IF(C16="Company",'📋 PRICING REFERENCE'!E8,""))),"-"))</f>
        <v/>
      </c>
      <c r="G16" s="44" t="str">
        <f>IF(B16="","",IF(D16="Monthly",E16,IF(D16="Annual",IF(ISNUMBER(F16),F16/12,""),"")))</f>
        <v/>
      </c>
      <c r="H16" s="44" t="str">
        <f>IF(B16="","",G16*1)</f>
        <v/>
      </c>
      <c r="I16" s="42" t="str">
        <f>IF(B16="","","Month 1")</f>
        <v/>
      </c>
      <c r="J16" s="13"/>
      <c r="K16" s="10"/>
      <c r="L16" s="10"/>
      <c r="M16" s="10"/>
      <c r="N16" s="10"/>
    </row>
    <row r="17" spans="1:14" x14ac:dyDescent="0.2">
      <c r="A17" s="39" t="str">
        <f t="shared" ref="A17:A35" si="0">IF(B17&lt;&gt;"",ROW()-15,"")</f>
        <v/>
      </c>
      <c r="B17" s="13"/>
      <c r="C17" s="14"/>
      <c r="D17" s="14"/>
      <c r="E17" s="40" t="str">
        <f>IF(B17="","",IF(C17="Team",IF(D17="Monthly",'📋 PRICING REFERENCE'!C7,'📋 PRICING REFERENCE'!D7),IF(C17="Department",IF(D17="Monthly",'📋 PRICING REFERENCE'!C8,'📋 PRICING REFERENCE'!D8),IF(C17="Company",IF(D17="Monthly",'📋 PRICING REFERENCE'!C9,'📋 PRICING REFERENCE'!D9),""))))</f>
        <v/>
      </c>
      <c r="F17" s="40" t="str">
        <f>IF(B17="","",IF(D17="Annual",IF(C17="Team",'📋 PRICING REFERENCE'!E7,IF(C17="Department",'📋 PRICING REFERENCE'!E8,IF(C17="Company",'📋 PRICING REFERENCE'!E9,""))),"-"))</f>
        <v/>
      </c>
      <c r="G17" s="41" t="str">
        <f t="shared" ref="G17:G35" si="1">IF(B17="","",IF(D17="Monthly",E17,IF(D17="Annual",IF(ISNUMBER(F17),F17/12,""),"")))</f>
        <v/>
      </c>
      <c r="H17" s="41" t="str">
        <f t="shared" ref="H17:H35" si="2">IF(B17="","",G17*1)</f>
        <v/>
      </c>
      <c r="I17" s="39" t="str">
        <f t="shared" ref="I17:I35" si="3">IF(B17="","","Month 1")</f>
        <v/>
      </c>
      <c r="J17" s="13"/>
      <c r="K17" s="10"/>
      <c r="L17" s="10"/>
      <c r="M17" s="10"/>
      <c r="N17" s="10"/>
    </row>
    <row r="18" spans="1:14" x14ac:dyDescent="0.2">
      <c r="A18" s="42" t="str">
        <f t="shared" si="0"/>
        <v/>
      </c>
      <c r="B18" s="13"/>
      <c r="C18" s="14"/>
      <c r="D18" s="14"/>
      <c r="E18" s="43" t="str">
        <f>IF(B18="","",IF(C18="Team",IF(D18="Monthly",'📋 PRICING REFERENCE'!C8,'📋 PRICING REFERENCE'!D8),IF(C18="Department",IF(D18="Monthly",'📋 PRICING REFERENCE'!C9,'📋 PRICING REFERENCE'!D9),IF(C18="Company",IF(D18="Monthly",'📋 PRICING REFERENCE'!C10,'📋 PRICING REFERENCE'!D10),""))))</f>
        <v/>
      </c>
      <c r="F18" s="43" t="str">
        <f>IF(B18="","",IF(D18="Annual",IF(C18="Team",'📋 PRICING REFERENCE'!E8,IF(C18="Department",'📋 PRICING REFERENCE'!E9,IF(C18="Company",'📋 PRICING REFERENCE'!E10,""))),"-"))</f>
        <v/>
      </c>
      <c r="G18" s="44" t="str">
        <f t="shared" si="1"/>
        <v/>
      </c>
      <c r="H18" s="44" t="str">
        <f t="shared" si="2"/>
        <v/>
      </c>
      <c r="I18" s="42" t="str">
        <f t="shared" si="3"/>
        <v/>
      </c>
      <c r="J18" s="13"/>
      <c r="K18" s="10"/>
      <c r="L18" s="10"/>
      <c r="M18" s="10"/>
      <c r="N18" s="10"/>
    </row>
    <row r="19" spans="1:14" x14ac:dyDescent="0.2">
      <c r="A19" s="39" t="str">
        <f t="shared" si="0"/>
        <v/>
      </c>
      <c r="B19" s="13"/>
      <c r="C19" s="14"/>
      <c r="D19" s="14"/>
      <c r="E19" s="40" t="str">
        <f>IF(B19="","",IF(C19="Team",IF(D19="Monthly",'📋 PRICING REFERENCE'!C9,'📋 PRICING REFERENCE'!D9),IF(C19="Department",IF(D19="Monthly",'📋 PRICING REFERENCE'!C10,'📋 PRICING REFERENCE'!D10),IF(C19="Company",IF(D19="Monthly",'📋 PRICING REFERENCE'!C11,'📋 PRICING REFERENCE'!D11),""))))</f>
        <v/>
      </c>
      <c r="F19" s="40" t="str">
        <f>IF(B19="","",IF(D19="Annual",IF(C19="Team",'📋 PRICING REFERENCE'!E9,IF(C19="Department",'📋 PRICING REFERENCE'!E10,IF(C19="Company",'📋 PRICING REFERENCE'!E11,""))),"-"))</f>
        <v/>
      </c>
      <c r="G19" s="41" t="str">
        <f t="shared" si="1"/>
        <v/>
      </c>
      <c r="H19" s="41" t="str">
        <f t="shared" si="2"/>
        <v/>
      </c>
      <c r="I19" s="39" t="str">
        <f t="shared" si="3"/>
        <v/>
      </c>
      <c r="J19" s="13"/>
      <c r="K19" s="10"/>
      <c r="L19" s="10"/>
      <c r="M19" s="10"/>
      <c r="N19" s="10"/>
    </row>
    <row r="20" spans="1:14" x14ac:dyDescent="0.2">
      <c r="A20" s="42" t="str">
        <f t="shared" si="0"/>
        <v/>
      </c>
      <c r="B20" s="13"/>
      <c r="C20" s="14"/>
      <c r="D20" s="14"/>
      <c r="E20" s="43" t="str">
        <f>IF(B20="","",IF(C20="Team",IF(D20="Monthly",'📋 PRICING REFERENCE'!C10,'📋 PRICING REFERENCE'!D10),IF(C20="Department",IF(D20="Monthly",'📋 PRICING REFERENCE'!C11,'📋 PRICING REFERENCE'!D11),IF(C20="Company",IF(D20="Monthly",'📋 PRICING REFERENCE'!C12,'📋 PRICING REFERENCE'!D12),""))))</f>
        <v/>
      </c>
      <c r="F20" s="43" t="str">
        <f>IF(B20="","",IF(D20="Annual",IF(C20="Team",'📋 PRICING REFERENCE'!E10,IF(C20="Department",'📋 PRICING REFERENCE'!E11,IF(C20="Company",'📋 PRICING REFERENCE'!E12,""))),"-"))</f>
        <v/>
      </c>
      <c r="G20" s="44" t="str">
        <f t="shared" si="1"/>
        <v/>
      </c>
      <c r="H20" s="44" t="str">
        <f t="shared" si="2"/>
        <v/>
      </c>
      <c r="I20" s="42" t="str">
        <f t="shared" si="3"/>
        <v/>
      </c>
      <c r="J20" s="13"/>
      <c r="K20" s="10"/>
      <c r="L20" s="10"/>
      <c r="M20" s="10"/>
      <c r="N20" s="10"/>
    </row>
    <row r="21" spans="1:14" x14ac:dyDescent="0.2">
      <c r="A21" s="39" t="str">
        <f t="shared" si="0"/>
        <v/>
      </c>
      <c r="B21" s="13"/>
      <c r="C21" s="14"/>
      <c r="D21" s="14"/>
      <c r="E21" s="40" t="str">
        <f>IF(B21="","",IF(C21="Team",IF(D21="Monthly",'📋 PRICING REFERENCE'!C11,'📋 PRICING REFERENCE'!D11),IF(C21="Department",IF(D21="Monthly",'📋 PRICING REFERENCE'!C12,'📋 PRICING REFERENCE'!D12),IF(C21="Company",IF(D21="Monthly",'📋 PRICING REFERENCE'!C13,'📋 PRICING REFERENCE'!D13),""))))</f>
        <v/>
      </c>
      <c r="F21" s="40" t="str">
        <f>IF(B21="","",IF(D21="Annual",IF(C21="Team",'📋 PRICING REFERENCE'!E11,IF(C21="Department",'📋 PRICING REFERENCE'!E12,IF(C21="Company",'📋 PRICING REFERENCE'!E13,""))),"-"))</f>
        <v/>
      </c>
      <c r="G21" s="41" t="str">
        <f t="shared" si="1"/>
        <v/>
      </c>
      <c r="H21" s="41" t="str">
        <f t="shared" si="2"/>
        <v/>
      </c>
      <c r="I21" s="39" t="str">
        <f t="shared" si="3"/>
        <v/>
      </c>
      <c r="J21" s="13"/>
      <c r="K21" s="10"/>
      <c r="L21" s="10"/>
      <c r="M21" s="10"/>
      <c r="N21" s="10"/>
    </row>
    <row r="22" spans="1:14" x14ac:dyDescent="0.2">
      <c r="A22" s="42" t="str">
        <f t="shared" si="0"/>
        <v/>
      </c>
      <c r="B22" s="13"/>
      <c r="C22" s="14"/>
      <c r="D22" s="14"/>
      <c r="E22" s="43" t="str">
        <f>IF(B22="","",IF(C22="Team",IF(D22="Monthly",'📋 PRICING REFERENCE'!C12,'📋 PRICING REFERENCE'!D12),IF(C22="Department",IF(D22="Monthly",'📋 PRICING REFERENCE'!C13,'📋 PRICING REFERENCE'!D13),IF(C22="Company",IF(D22="Monthly",'📋 PRICING REFERENCE'!C14,'📋 PRICING REFERENCE'!D14),""))))</f>
        <v/>
      </c>
      <c r="F22" s="43" t="str">
        <f>IF(B22="","",IF(D22="Annual",IF(C22="Team",'📋 PRICING REFERENCE'!E12,IF(C22="Department",'📋 PRICING REFERENCE'!E13,IF(C22="Company",'📋 PRICING REFERENCE'!E14,""))),"-"))</f>
        <v/>
      </c>
      <c r="G22" s="44" t="str">
        <f t="shared" si="1"/>
        <v/>
      </c>
      <c r="H22" s="44" t="str">
        <f t="shared" si="2"/>
        <v/>
      </c>
      <c r="I22" s="42" t="str">
        <f t="shared" si="3"/>
        <v/>
      </c>
      <c r="J22" s="13"/>
      <c r="K22" s="10"/>
      <c r="L22" s="10"/>
      <c r="M22" s="10"/>
      <c r="N22" s="10"/>
    </row>
    <row r="23" spans="1:14" x14ac:dyDescent="0.2">
      <c r="A23" s="39" t="str">
        <f t="shared" si="0"/>
        <v/>
      </c>
      <c r="B23" s="13"/>
      <c r="C23" s="14"/>
      <c r="D23" s="14"/>
      <c r="E23" s="40" t="str">
        <f>IF(B23="","",IF(C23="Team",IF(D23="Monthly",'📋 PRICING REFERENCE'!C13,'📋 PRICING REFERENCE'!D13),IF(C23="Department",IF(D23="Monthly",'📋 PRICING REFERENCE'!C14,'📋 PRICING REFERENCE'!D14),IF(C23="Company",IF(D23="Monthly",'📋 PRICING REFERENCE'!C15,'📋 PRICING REFERENCE'!D15),""))))</f>
        <v/>
      </c>
      <c r="F23" s="40" t="str">
        <f>IF(B23="","",IF(D23="Annual",IF(C23="Team",'📋 PRICING REFERENCE'!E13,IF(C23="Department",'📋 PRICING REFERENCE'!E14,IF(C23="Company",'📋 PRICING REFERENCE'!E15,""))),"-"))</f>
        <v/>
      </c>
      <c r="G23" s="41" t="str">
        <f t="shared" si="1"/>
        <v/>
      </c>
      <c r="H23" s="41" t="str">
        <f t="shared" si="2"/>
        <v/>
      </c>
      <c r="I23" s="39" t="str">
        <f t="shared" si="3"/>
        <v/>
      </c>
      <c r="J23" s="13"/>
      <c r="K23" s="10"/>
      <c r="L23" s="10"/>
      <c r="M23" s="10"/>
      <c r="N23" s="10"/>
    </row>
    <row r="24" spans="1:14" x14ac:dyDescent="0.2">
      <c r="A24" s="42" t="str">
        <f t="shared" si="0"/>
        <v/>
      </c>
      <c r="B24" s="13"/>
      <c r="C24" s="14"/>
      <c r="D24" s="14"/>
      <c r="E24" s="43" t="str">
        <f>IF(B24="","",IF(C24="Team",IF(D24="Monthly",'📋 PRICING REFERENCE'!C14,'📋 PRICING REFERENCE'!D14),IF(C24="Department",IF(D24="Monthly",'📋 PRICING REFERENCE'!C15,'📋 PRICING REFERENCE'!D15),IF(C24="Company",IF(D24="Monthly",'📋 PRICING REFERENCE'!C16,'📋 PRICING REFERENCE'!D16),""))))</f>
        <v/>
      </c>
      <c r="F24" s="43" t="str">
        <f>IF(B24="","",IF(D24="Annual",IF(C24="Team",'📋 PRICING REFERENCE'!E14,IF(C24="Department",'📋 PRICING REFERENCE'!E15,IF(C24="Company",'📋 PRICING REFERENCE'!E16,""))),"-"))</f>
        <v/>
      </c>
      <c r="G24" s="44" t="str">
        <f t="shared" si="1"/>
        <v/>
      </c>
      <c r="H24" s="44" t="str">
        <f t="shared" si="2"/>
        <v/>
      </c>
      <c r="I24" s="42" t="str">
        <f t="shared" si="3"/>
        <v/>
      </c>
      <c r="J24" s="13"/>
      <c r="K24" s="10"/>
      <c r="L24" s="10"/>
      <c r="M24" s="10"/>
      <c r="N24" s="10"/>
    </row>
    <row r="25" spans="1:14" x14ac:dyDescent="0.2">
      <c r="A25" s="39" t="str">
        <f t="shared" si="0"/>
        <v/>
      </c>
      <c r="B25" s="13"/>
      <c r="C25" s="14"/>
      <c r="D25" s="14"/>
      <c r="E25" s="40" t="str">
        <f>IF(B25="","",IF(C25="Team",IF(D25="Monthly",'📋 PRICING REFERENCE'!C15,'📋 PRICING REFERENCE'!D15),IF(C25="Department",IF(D25="Monthly",'📋 PRICING REFERENCE'!C16,'📋 PRICING REFERENCE'!D16),IF(C25="Company",IF(D25="Monthly",'📋 PRICING REFERENCE'!C17,'📋 PRICING REFERENCE'!D17),""))))</f>
        <v/>
      </c>
      <c r="F25" s="40" t="str">
        <f>IF(B25="","",IF(D25="Annual",IF(C25="Team",'📋 PRICING REFERENCE'!E15,IF(C25="Department",'📋 PRICING REFERENCE'!E16,IF(C25="Company",'📋 PRICING REFERENCE'!E17,""))),"-"))</f>
        <v/>
      </c>
      <c r="G25" s="41" t="str">
        <f t="shared" si="1"/>
        <v/>
      </c>
      <c r="H25" s="41" t="str">
        <f t="shared" si="2"/>
        <v/>
      </c>
      <c r="I25" s="39" t="str">
        <f t="shared" si="3"/>
        <v/>
      </c>
      <c r="J25" s="13"/>
      <c r="K25" s="10"/>
      <c r="L25" s="10"/>
      <c r="M25" s="10"/>
      <c r="N25" s="10"/>
    </row>
    <row r="26" spans="1:14" x14ac:dyDescent="0.2">
      <c r="A26" s="42" t="str">
        <f t="shared" si="0"/>
        <v/>
      </c>
      <c r="B26" s="13"/>
      <c r="C26" s="14"/>
      <c r="D26" s="14"/>
      <c r="E26" s="43" t="str">
        <f>IF(B26="","",IF(C26="Team",IF(D26="Monthly",'📋 PRICING REFERENCE'!C16,'📋 PRICING REFERENCE'!D16),IF(C26="Department",IF(D26="Monthly",'📋 PRICING REFERENCE'!C17,'📋 PRICING REFERENCE'!D17),IF(C26="Company",IF(D26="Monthly",'📋 PRICING REFERENCE'!C18,'📋 PRICING REFERENCE'!D18),""))))</f>
        <v/>
      </c>
      <c r="F26" s="43" t="str">
        <f>IF(B26="","",IF(D26="Annual",IF(C26="Team",'📋 PRICING REFERENCE'!E16,IF(C26="Department",'📋 PRICING REFERENCE'!E17,IF(C26="Company",'📋 PRICING REFERENCE'!E18,""))),"-"))</f>
        <v/>
      </c>
      <c r="G26" s="44" t="str">
        <f t="shared" si="1"/>
        <v/>
      </c>
      <c r="H26" s="44" t="str">
        <f t="shared" si="2"/>
        <v/>
      </c>
      <c r="I26" s="42" t="str">
        <f t="shared" si="3"/>
        <v/>
      </c>
      <c r="J26" s="13"/>
      <c r="K26" s="10"/>
      <c r="L26" s="10"/>
      <c r="M26" s="10"/>
      <c r="N26" s="10"/>
    </row>
    <row r="27" spans="1:14" x14ac:dyDescent="0.2">
      <c r="A27" s="39" t="str">
        <f t="shared" si="0"/>
        <v/>
      </c>
      <c r="B27" s="13"/>
      <c r="C27" s="14"/>
      <c r="D27" s="14"/>
      <c r="E27" s="40" t="str">
        <f>IF(B27="","",IF(C27="Team",IF(D27="Monthly",'📋 PRICING REFERENCE'!C17,'📋 PRICING REFERENCE'!D17),IF(C27="Department",IF(D27="Monthly",'📋 PRICING REFERENCE'!C18,'📋 PRICING REFERENCE'!D18),IF(C27="Company",IF(D27="Monthly",'📋 PRICING REFERENCE'!C19,'📋 PRICING REFERENCE'!D19),""))))</f>
        <v/>
      </c>
      <c r="F27" s="40" t="str">
        <f>IF(B27="","",IF(D27="Annual",IF(C27="Team",'📋 PRICING REFERENCE'!E17,IF(C27="Department",'📋 PRICING REFERENCE'!E18,IF(C27="Company",'📋 PRICING REFERENCE'!E19,""))),"-"))</f>
        <v/>
      </c>
      <c r="G27" s="41" t="str">
        <f t="shared" si="1"/>
        <v/>
      </c>
      <c r="H27" s="41" t="str">
        <f t="shared" si="2"/>
        <v/>
      </c>
      <c r="I27" s="39" t="str">
        <f t="shared" si="3"/>
        <v/>
      </c>
      <c r="J27" s="13"/>
      <c r="K27" s="10"/>
      <c r="L27" s="10"/>
      <c r="M27" s="10"/>
      <c r="N27" s="10"/>
    </row>
    <row r="28" spans="1:14" x14ac:dyDescent="0.2">
      <c r="A28" s="42" t="str">
        <f t="shared" si="0"/>
        <v/>
      </c>
      <c r="B28" s="13"/>
      <c r="C28" s="14"/>
      <c r="D28" s="14"/>
      <c r="E28" s="43" t="str">
        <f>IF(B28="","",IF(C28="Team",IF(D28="Monthly",'📋 PRICING REFERENCE'!C18,'📋 PRICING REFERENCE'!D18),IF(C28="Department",IF(D28="Monthly",'📋 PRICING REFERENCE'!C19,'📋 PRICING REFERENCE'!D19),IF(C28="Company",IF(D28="Monthly",'📋 PRICING REFERENCE'!C20,'📋 PRICING REFERENCE'!D20),""))))</f>
        <v/>
      </c>
      <c r="F28" s="43" t="str">
        <f>IF(B28="","",IF(D28="Annual",IF(C28="Team",'📋 PRICING REFERENCE'!E18,IF(C28="Department",'📋 PRICING REFERENCE'!E19,IF(C28="Company",'📋 PRICING REFERENCE'!E20,""))),"-"))</f>
        <v/>
      </c>
      <c r="G28" s="44" t="str">
        <f t="shared" si="1"/>
        <v/>
      </c>
      <c r="H28" s="44" t="str">
        <f t="shared" si="2"/>
        <v/>
      </c>
      <c r="I28" s="42" t="str">
        <f t="shared" si="3"/>
        <v/>
      </c>
      <c r="J28" s="13"/>
      <c r="K28" s="10"/>
      <c r="L28" s="10"/>
      <c r="M28" s="10"/>
      <c r="N28" s="10"/>
    </row>
    <row r="29" spans="1:14" x14ac:dyDescent="0.2">
      <c r="A29" s="39" t="str">
        <f t="shared" si="0"/>
        <v/>
      </c>
      <c r="B29" s="13"/>
      <c r="C29" s="14"/>
      <c r="D29" s="14"/>
      <c r="E29" s="40" t="str">
        <f>IF(B29="","",IF(C29="Team",IF(D29="Monthly",'📋 PRICING REFERENCE'!C19,'📋 PRICING REFERENCE'!D19),IF(C29="Department",IF(D29="Monthly",'📋 PRICING REFERENCE'!C20,'📋 PRICING REFERENCE'!D20),IF(C29="Company",IF(D29="Monthly",'📋 PRICING REFERENCE'!C21,'📋 PRICING REFERENCE'!D21),""))))</f>
        <v/>
      </c>
      <c r="F29" s="40" t="str">
        <f>IF(B29="","",IF(D29="Annual",IF(C29="Team",'📋 PRICING REFERENCE'!E19,IF(C29="Department",'📋 PRICING REFERENCE'!E20,IF(C29="Company",'📋 PRICING REFERENCE'!E21,""))),"-"))</f>
        <v/>
      </c>
      <c r="G29" s="41" t="str">
        <f t="shared" si="1"/>
        <v/>
      </c>
      <c r="H29" s="41" t="str">
        <f t="shared" si="2"/>
        <v/>
      </c>
      <c r="I29" s="39" t="str">
        <f t="shared" si="3"/>
        <v/>
      </c>
      <c r="J29" s="13"/>
      <c r="K29" s="10"/>
      <c r="L29" s="10"/>
      <c r="M29" s="10"/>
      <c r="N29" s="10"/>
    </row>
    <row r="30" spans="1:14" x14ac:dyDescent="0.2">
      <c r="A30" s="42" t="str">
        <f t="shared" si="0"/>
        <v/>
      </c>
      <c r="B30" s="13"/>
      <c r="C30" s="14"/>
      <c r="D30" s="14"/>
      <c r="E30" s="43" t="str">
        <f>IF(B30="","",IF(C30="Team",IF(D30="Monthly",'📋 PRICING REFERENCE'!C20,'📋 PRICING REFERENCE'!D20),IF(C30="Department",IF(D30="Monthly",'📋 PRICING REFERENCE'!C21,'📋 PRICING REFERENCE'!D21),IF(C30="Company",IF(D30="Monthly",'📋 PRICING REFERENCE'!C22,'📋 PRICING REFERENCE'!D22),""))))</f>
        <v/>
      </c>
      <c r="F30" s="43" t="str">
        <f>IF(B30="","",IF(D30="Annual",IF(C30="Team",'📋 PRICING REFERENCE'!E20,IF(C30="Department",'📋 PRICING REFERENCE'!E21,IF(C30="Company",'📋 PRICING REFERENCE'!E22,""))),"-"))</f>
        <v/>
      </c>
      <c r="G30" s="44" t="str">
        <f t="shared" si="1"/>
        <v/>
      </c>
      <c r="H30" s="44" t="str">
        <f t="shared" si="2"/>
        <v/>
      </c>
      <c r="I30" s="42" t="str">
        <f t="shared" si="3"/>
        <v/>
      </c>
      <c r="J30" s="13"/>
      <c r="K30" s="10"/>
      <c r="L30" s="10"/>
      <c r="M30" s="10"/>
      <c r="N30" s="10"/>
    </row>
    <row r="31" spans="1:14" x14ac:dyDescent="0.2">
      <c r="A31" s="39" t="str">
        <f t="shared" si="0"/>
        <v/>
      </c>
      <c r="B31" s="13"/>
      <c r="C31" s="14"/>
      <c r="D31" s="14"/>
      <c r="E31" s="40" t="str">
        <f>IF(B31="","",IF(C31="Team",IF(D31="Monthly",'📋 PRICING REFERENCE'!C21,'📋 PRICING REFERENCE'!D21),IF(C31="Department",IF(D31="Monthly",'📋 PRICING REFERENCE'!C22,'📋 PRICING REFERENCE'!D22),IF(C31="Company",IF(D31="Monthly",'📋 PRICING REFERENCE'!C23,'📋 PRICING REFERENCE'!D23),""))))</f>
        <v/>
      </c>
      <c r="F31" s="40" t="str">
        <f>IF(B31="","",IF(D31="Annual",IF(C31="Team",'📋 PRICING REFERENCE'!E21,IF(C31="Department",'📋 PRICING REFERENCE'!E22,IF(C31="Company",'📋 PRICING REFERENCE'!E23,""))),"-"))</f>
        <v/>
      </c>
      <c r="G31" s="41" t="str">
        <f t="shared" si="1"/>
        <v/>
      </c>
      <c r="H31" s="41" t="str">
        <f t="shared" si="2"/>
        <v/>
      </c>
      <c r="I31" s="39" t="str">
        <f t="shared" si="3"/>
        <v/>
      </c>
      <c r="J31" s="13"/>
      <c r="K31" s="10"/>
      <c r="L31" s="10"/>
      <c r="M31" s="10"/>
      <c r="N31" s="10"/>
    </row>
    <row r="32" spans="1:14" x14ac:dyDescent="0.2">
      <c r="A32" s="42" t="str">
        <f t="shared" si="0"/>
        <v/>
      </c>
      <c r="B32" s="13"/>
      <c r="C32" s="14"/>
      <c r="D32" s="14"/>
      <c r="E32" s="43" t="str">
        <f>IF(B32="","",IF(C32="Team",IF(D32="Monthly",'📋 PRICING REFERENCE'!C22,'📋 PRICING REFERENCE'!D22),IF(C32="Department",IF(D32="Monthly",'📋 PRICING REFERENCE'!C23,'📋 PRICING REFERENCE'!D23),IF(C32="Company",IF(D32="Monthly",'📋 PRICING REFERENCE'!C24,'📋 PRICING REFERENCE'!D24),""))))</f>
        <v/>
      </c>
      <c r="F32" s="43" t="str">
        <f>IF(B32="","",IF(D32="Annual",IF(C32="Team",'📋 PRICING REFERENCE'!E22,IF(C32="Department",'📋 PRICING REFERENCE'!E23,IF(C32="Company",'📋 PRICING REFERENCE'!E24,""))),"-"))</f>
        <v/>
      </c>
      <c r="G32" s="44" t="str">
        <f t="shared" si="1"/>
        <v/>
      </c>
      <c r="H32" s="44" t="str">
        <f t="shared" si="2"/>
        <v/>
      </c>
      <c r="I32" s="42" t="str">
        <f t="shared" si="3"/>
        <v/>
      </c>
      <c r="J32" s="13"/>
      <c r="K32" s="10"/>
      <c r="L32" s="10"/>
      <c r="M32" s="10"/>
      <c r="N32" s="10"/>
    </row>
    <row r="33" spans="1:14" x14ac:dyDescent="0.2">
      <c r="A33" s="39" t="str">
        <f t="shared" si="0"/>
        <v/>
      </c>
      <c r="B33" s="13"/>
      <c r="C33" s="14"/>
      <c r="D33" s="14"/>
      <c r="E33" s="40" t="str">
        <f>IF(B33="","",IF(C33="Team",IF(D33="Monthly",'📋 PRICING REFERENCE'!C23,'📋 PRICING REFERENCE'!D23),IF(C33="Department",IF(D33="Monthly",'📋 PRICING REFERENCE'!C24,'📋 PRICING REFERENCE'!D24),IF(C33="Company",IF(D33="Monthly",'📋 PRICING REFERENCE'!C25,'📋 PRICING REFERENCE'!D25),""))))</f>
        <v/>
      </c>
      <c r="F33" s="40" t="str">
        <f>IF(B33="","",IF(D33="Annual",IF(C33="Team",'📋 PRICING REFERENCE'!E23,IF(C33="Department",'📋 PRICING REFERENCE'!E24,IF(C33="Company",'📋 PRICING REFERENCE'!E25,""))),"-"))</f>
        <v/>
      </c>
      <c r="G33" s="41" t="str">
        <f t="shared" si="1"/>
        <v/>
      </c>
      <c r="H33" s="41" t="str">
        <f t="shared" si="2"/>
        <v/>
      </c>
      <c r="I33" s="39" t="str">
        <f t="shared" si="3"/>
        <v/>
      </c>
      <c r="J33" s="13"/>
      <c r="K33" s="10"/>
      <c r="L33" s="10"/>
      <c r="M33" s="10"/>
      <c r="N33" s="10"/>
    </row>
    <row r="34" spans="1:14" x14ac:dyDescent="0.2">
      <c r="A34" s="42" t="str">
        <f t="shared" si="0"/>
        <v/>
      </c>
      <c r="B34" s="13"/>
      <c r="C34" s="14"/>
      <c r="D34" s="14"/>
      <c r="E34" s="43" t="str">
        <f>IF(B34="","",IF(C34="Team",IF(D34="Monthly",'📋 PRICING REFERENCE'!C24,'📋 PRICING REFERENCE'!D24),IF(C34="Department",IF(D34="Monthly",'📋 PRICING REFERENCE'!C25,'📋 PRICING REFERENCE'!D25),IF(C34="Company",IF(D34="Monthly",'📋 PRICING REFERENCE'!C26,'📋 PRICING REFERENCE'!D26),""))))</f>
        <v/>
      </c>
      <c r="F34" s="43" t="str">
        <f>IF(B34="","",IF(D34="Annual",IF(C34="Team",'📋 PRICING REFERENCE'!E24,IF(C34="Department",'📋 PRICING REFERENCE'!E25,IF(C34="Company",'📋 PRICING REFERENCE'!E26,""))),"-"))</f>
        <v/>
      </c>
      <c r="G34" s="44" t="str">
        <f t="shared" si="1"/>
        <v/>
      </c>
      <c r="H34" s="44" t="str">
        <f t="shared" si="2"/>
        <v/>
      </c>
      <c r="I34" s="42" t="str">
        <f t="shared" si="3"/>
        <v/>
      </c>
      <c r="J34" s="13"/>
      <c r="K34" s="10"/>
      <c r="L34" s="10"/>
      <c r="M34" s="10"/>
      <c r="N34" s="10"/>
    </row>
    <row r="35" spans="1:14" x14ac:dyDescent="0.2">
      <c r="A35" s="39" t="str">
        <f t="shared" si="0"/>
        <v/>
      </c>
      <c r="B35" s="13"/>
      <c r="C35" s="14"/>
      <c r="D35" s="14"/>
      <c r="E35" s="40" t="str">
        <f>IF(B35="","",IF(C35="Team",IF(D35="Monthly",'📋 PRICING REFERENCE'!C25,'📋 PRICING REFERENCE'!D25),IF(C35="Department",IF(D35="Monthly",'📋 PRICING REFERENCE'!C26,'📋 PRICING REFERENCE'!D26),IF(C35="Company",IF(D35="Monthly",'📋 PRICING REFERENCE'!C27,'📋 PRICING REFERENCE'!D27),""))))</f>
        <v/>
      </c>
      <c r="F35" s="40" t="str">
        <f>IF(B35="","",IF(D35="Annual",IF(C35="Team",'📋 PRICING REFERENCE'!E25,IF(C35="Department",'📋 PRICING REFERENCE'!E26,IF(C35="Company",'📋 PRICING REFERENCE'!E27,""))),"-"))</f>
        <v/>
      </c>
      <c r="G35" s="41" t="str">
        <f t="shared" si="1"/>
        <v/>
      </c>
      <c r="H35" s="41" t="str">
        <f t="shared" si="2"/>
        <v/>
      </c>
      <c r="I35" s="39" t="str">
        <f t="shared" si="3"/>
        <v/>
      </c>
      <c r="J35" s="13"/>
      <c r="K35" s="10"/>
      <c r="L35" s="10"/>
      <c r="M35" s="10"/>
      <c r="N35" s="10"/>
    </row>
    <row r="36" spans="1:14" x14ac:dyDescent="0.2">
      <c r="A36" s="10"/>
      <c r="B36" s="10"/>
      <c r="C36" s="10"/>
      <c r="D36" s="10"/>
      <c r="E36" s="10"/>
      <c r="F36" s="10"/>
      <c r="G36" s="10"/>
      <c r="H36" s="10"/>
      <c r="I36" s="10"/>
      <c r="J36" s="10"/>
      <c r="K36" s="10"/>
      <c r="L36" s="10"/>
      <c r="M36" s="10"/>
      <c r="N36" s="10"/>
    </row>
    <row r="37" spans="1:14" x14ac:dyDescent="0.2">
      <c r="A37" s="10"/>
      <c r="B37" s="7" t="s">
        <v>79</v>
      </c>
      <c r="C37" s="10"/>
      <c r="D37" s="10"/>
      <c r="E37" s="10"/>
      <c r="F37" s="10"/>
      <c r="G37" s="10"/>
      <c r="H37" s="10"/>
      <c r="I37" s="10"/>
      <c r="J37" s="10"/>
      <c r="K37" s="10"/>
      <c r="L37" s="10"/>
      <c r="M37" s="10"/>
      <c r="N37" s="10"/>
    </row>
    <row r="38" spans="1:14" x14ac:dyDescent="0.2">
      <c r="A38" s="10"/>
      <c r="B38" s="45" t="s">
        <v>80</v>
      </c>
      <c r="C38" s="10"/>
      <c r="D38" s="10"/>
      <c r="E38" s="10"/>
      <c r="F38" s="10"/>
      <c r="G38" s="46">
        <f>COUNTA(B16:B35)</f>
        <v>0</v>
      </c>
      <c r="H38" s="10"/>
      <c r="I38" s="10"/>
      <c r="J38" s="10"/>
      <c r="K38" s="10"/>
      <c r="L38" s="10"/>
      <c r="M38" s="10"/>
      <c r="N38" s="10"/>
    </row>
    <row r="39" spans="1:14" x14ac:dyDescent="0.2">
      <c r="A39" s="10"/>
      <c r="B39" s="45" t="s">
        <v>81</v>
      </c>
      <c r="C39" s="10"/>
      <c r="D39" s="10"/>
      <c r="E39" s="10"/>
      <c r="F39" s="10"/>
      <c r="G39" s="47">
        <f>SUM(H16:H35)</f>
        <v>0</v>
      </c>
      <c r="H39" s="10"/>
      <c r="I39" s="10"/>
      <c r="J39" s="10"/>
      <c r="K39" s="10"/>
      <c r="L39" s="10"/>
      <c r="M39" s="10"/>
      <c r="N39" s="10"/>
    </row>
    <row r="40" spans="1:14" x14ac:dyDescent="0.2">
      <c r="A40" s="10"/>
      <c r="B40" s="45" t="s">
        <v>82</v>
      </c>
      <c r="C40" s="10"/>
      <c r="D40" s="10"/>
      <c r="E40" s="10"/>
      <c r="F40" s="10"/>
      <c r="G40" s="47">
        <f>IFERROR(SUM(H16:H35)/COUNTA(B16:B35),0)</f>
        <v>0</v>
      </c>
      <c r="H40" s="10"/>
      <c r="I40" s="10"/>
      <c r="J40" s="10"/>
      <c r="K40" s="10"/>
      <c r="L40" s="10"/>
      <c r="M40" s="10"/>
      <c r="N40" s="10"/>
    </row>
    <row r="41" spans="1:14" x14ac:dyDescent="0.2">
      <c r="A41" s="10"/>
      <c r="B41" s="45" t="s">
        <v>83</v>
      </c>
      <c r="C41" s="10"/>
      <c r="D41" s="10"/>
      <c r="E41" s="10"/>
      <c r="F41" s="10"/>
      <c r="G41" s="47">
        <f>IFERROR(MAX(H16:H35),0)</f>
        <v>0</v>
      </c>
      <c r="H41" s="10"/>
      <c r="I41" s="10"/>
      <c r="J41" s="10"/>
      <c r="K41" s="10"/>
      <c r="L41" s="10"/>
      <c r="M41" s="10"/>
      <c r="N41" s="10"/>
    </row>
    <row r="42" spans="1:14" x14ac:dyDescent="0.2">
      <c r="A42" s="10"/>
      <c r="B42" s="10"/>
      <c r="C42" s="10"/>
      <c r="D42" s="10"/>
      <c r="E42" s="10"/>
      <c r="F42" s="10"/>
      <c r="G42" s="10"/>
      <c r="H42" s="10"/>
      <c r="I42" s="10"/>
      <c r="J42" s="10"/>
      <c r="K42" s="10"/>
      <c r="L42" s="10"/>
      <c r="M42" s="10"/>
      <c r="N42" s="10"/>
    </row>
    <row r="43" spans="1:14" x14ac:dyDescent="0.2">
      <c r="A43" s="10"/>
      <c r="B43" s="7" t="s">
        <v>84</v>
      </c>
      <c r="C43" s="10"/>
      <c r="D43" s="10"/>
      <c r="E43" s="10"/>
      <c r="F43" s="10"/>
      <c r="G43" s="10"/>
      <c r="H43" s="10"/>
      <c r="I43" s="10"/>
      <c r="J43" s="10"/>
      <c r="K43" s="10"/>
      <c r="L43" s="10"/>
      <c r="M43" s="10"/>
      <c r="N43" s="10"/>
    </row>
    <row r="44" spans="1:14" x14ac:dyDescent="0.2">
      <c r="A44" s="9"/>
      <c r="B44" s="9" t="s">
        <v>85</v>
      </c>
      <c r="C44" s="9" t="s">
        <v>86</v>
      </c>
      <c r="D44" s="9" t="s">
        <v>87</v>
      </c>
      <c r="E44" s="9" t="s">
        <v>88</v>
      </c>
      <c r="F44" s="9" t="s">
        <v>89</v>
      </c>
      <c r="G44" s="9" t="s">
        <v>90</v>
      </c>
      <c r="H44" s="9" t="s">
        <v>91</v>
      </c>
      <c r="I44" s="9" t="s">
        <v>92</v>
      </c>
      <c r="J44" s="9" t="s">
        <v>93</v>
      </c>
      <c r="K44" s="9" t="s">
        <v>94</v>
      </c>
      <c r="L44" s="9" t="s">
        <v>95</v>
      </c>
      <c r="M44" s="9" t="s">
        <v>96</v>
      </c>
      <c r="N44" s="9" t="s">
        <v>97</v>
      </c>
    </row>
    <row r="45" spans="1:14" x14ac:dyDescent="0.2">
      <c r="A45" s="12" t="s">
        <v>98</v>
      </c>
      <c r="B45" s="48">
        <f>SUM(H16:H35)</f>
        <v>0</v>
      </c>
      <c r="C45" s="48">
        <v>0</v>
      </c>
      <c r="D45" s="48">
        <v>0</v>
      </c>
      <c r="E45" s="48">
        <v>0</v>
      </c>
      <c r="F45" s="48">
        <v>0</v>
      </c>
      <c r="G45" s="48">
        <v>0</v>
      </c>
      <c r="H45" s="48">
        <v>0</v>
      </c>
      <c r="I45" s="48">
        <v>0</v>
      </c>
      <c r="J45" s="48">
        <v>0</v>
      </c>
      <c r="K45" s="48">
        <v>0</v>
      </c>
      <c r="L45" s="48">
        <v>0</v>
      </c>
      <c r="M45" s="48">
        <v>0</v>
      </c>
      <c r="N45" s="49">
        <f>SUM(B45:M45)</f>
        <v>0</v>
      </c>
    </row>
    <row r="46" spans="1:14" x14ac:dyDescent="0.2">
      <c r="A46" s="10"/>
      <c r="B46" s="10"/>
      <c r="C46" s="10"/>
      <c r="D46" s="10"/>
      <c r="E46" s="10"/>
      <c r="F46" s="10"/>
      <c r="G46" s="10"/>
      <c r="H46" s="10"/>
      <c r="I46" s="10"/>
      <c r="J46" s="10"/>
      <c r="K46" s="10"/>
      <c r="L46" s="10"/>
      <c r="M46" s="10"/>
      <c r="N46" s="10"/>
    </row>
    <row r="47" spans="1:14" x14ac:dyDescent="0.2">
      <c r="A47" s="10"/>
      <c r="B47" s="10"/>
      <c r="C47" s="10"/>
      <c r="D47" s="10"/>
      <c r="E47" s="10"/>
      <c r="F47" s="10"/>
      <c r="G47" s="10"/>
      <c r="H47" s="10"/>
      <c r="I47" s="10"/>
      <c r="J47" s="10"/>
      <c r="K47" s="10"/>
      <c r="L47" s="10"/>
      <c r="M47" s="10"/>
      <c r="N47" s="10"/>
    </row>
    <row r="48" spans="1:14" x14ac:dyDescent="0.2">
      <c r="A48" s="10"/>
      <c r="B48" s="10"/>
      <c r="C48" s="10"/>
      <c r="D48" s="10"/>
      <c r="E48" s="10"/>
      <c r="F48" s="10"/>
      <c r="G48" s="10"/>
      <c r="H48" s="10"/>
      <c r="I48" s="10"/>
      <c r="J48" s="10"/>
      <c r="K48" s="10"/>
      <c r="L48" s="10"/>
      <c r="M48" s="10"/>
      <c r="N48" s="10"/>
    </row>
    <row r="49" spans="1:14" x14ac:dyDescent="0.2">
      <c r="A49" s="10"/>
      <c r="B49" s="10"/>
      <c r="C49" s="10"/>
      <c r="D49" s="10"/>
      <c r="E49" s="10"/>
      <c r="F49" s="10"/>
      <c r="G49" s="10"/>
      <c r="H49" s="10"/>
      <c r="I49" s="10"/>
      <c r="J49" s="10"/>
      <c r="K49" s="10"/>
      <c r="L49" s="10"/>
      <c r="M49" s="10"/>
      <c r="N49" s="10"/>
    </row>
    <row r="50" spans="1:14" x14ac:dyDescent="0.2">
      <c r="A50" s="10"/>
      <c r="B50" s="10"/>
      <c r="C50" s="10"/>
      <c r="D50" s="10"/>
      <c r="E50" s="10"/>
      <c r="F50" s="10"/>
      <c r="G50" s="10"/>
      <c r="H50" s="10"/>
      <c r="I50" s="10"/>
      <c r="J50" s="10"/>
      <c r="K50" s="10"/>
      <c r="L50" s="10"/>
      <c r="M50" s="10"/>
      <c r="N50" s="10"/>
    </row>
    <row r="51" spans="1:14" x14ac:dyDescent="0.2">
      <c r="A51" s="10"/>
      <c r="B51" s="10"/>
      <c r="C51" s="10"/>
      <c r="D51" s="10"/>
      <c r="E51" s="10"/>
      <c r="F51" s="10"/>
      <c r="G51" s="10"/>
      <c r="H51" s="10"/>
      <c r="I51" s="10"/>
      <c r="J51" s="10"/>
      <c r="K51" s="10"/>
      <c r="L51" s="10"/>
      <c r="M51" s="10"/>
      <c r="N51" s="10"/>
    </row>
    <row r="52" spans="1:14" x14ac:dyDescent="0.2">
      <c r="A52" s="10"/>
      <c r="B52" s="10"/>
      <c r="C52" s="10"/>
      <c r="D52" s="10"/>
      <c r="E52" s="10"/>
      <c r="F52" s="10"/>
      <c r="G52" s="10"/>
      <c r="H52" s="10"/>
      <c r="I52" s="10"/>
      <c r="J52" s="10"/>
      <c r="K52" s="10"/>
      <c r="L52" s="10"/>
      <c r="M52" s="10"/>
      <c r="N52" s="10"/>
    </row>
    <row r="53" spans="1:14" x14ac:dyDescent="0.2">
      <c r="A53" s="10"/>
      <c r="B53" s="10"/>
      <c r="C53" s="10"/>
      <c r="D53" s="10"/>
      <c r="E53" s="10"/>
      <c r="F53" s="10"/>
      <c r="G53" s="10"/>
      <c r="H53" s="10"/>
      <c r="I53" s="10"/>
      <c r="J53" s="10"/>
      <c r="K53" s="10"/>
      <c r="L53" s="10"/>
      <c r="M53" s="10"/>
      <c r="N53" s="10"/>
    </row>
    <row r="54" spans="1:14" x14ac:dyDescent="0.2">
      <c r="A54" s="10"/>
      <c r="B54" s="10"/>
      <c r="C54" s="10"/>
      <c r="D54" s="10"/>
      <c r="E54" s="10"/>
      <c r="F54" s="10"/>
      <c r="G54" s="10"/>
      <c r="H54" s="10"/>
      <c r="I54" s="10"/>
      <c r="J54" s="10"/>
      <c r="K54" s="10"/>
      <c r="L54" s="10"/>
      <c r="M54" s="10"/>
      <c r="N54" s="10"/>
    </row>
    <row r="55" spans="1:14" x14ac:dyDescent="0.2">
      <c r="A55" s="10"/>
      <c r="B55" s="10"/>
      <c r="C55" s="10"/>
      <c r="D55" s="10"/>
      <c r="E55" s="10"/>
      <c r="F55" s="10"/>
      <c r="G55" s="10"/>
      <c r="H55" s="10"/>
      <c r="I55" s="10"/>
      <c r="J55" s="10"/>
      <c r="K55" s="10"/>
      <c r="L55" s="10"/>
      <c r="M55" s="10"/>
      <c r="N55" s="10"/>
    </row>
    <row r="56" spans="1:14" x14ac:dyDescent="0.2">
      <c r="A56" s="10"/>
      <c r="B56" s="10"/>
      <c r="C56" s="10"/>
      <c r="D56" s="10"/>
      <c r="E56" s="10"/>
      <c r="F56" s="10"/>
      <c r="G56" s="10"/>
      <c r="H56" s="10"/>
      <c r="I56" s="10"/>
      <c r="J56" s="10"/>
      <c r="K56" s="10"/>
      <c r="L56" s="10"/>
      <c r="M56" s="10"/>
      <c r="N56" s="10"/>
    </row>
    <row r="57" spans="1:14" x14ac:dyDescent="0.2">
      <c r="A57" s="10"/>
      <c r="B57" s="10"/>
      <c r="C57" s="10"/>
      <c r="D57" s="10"/>
      <c r="E57" s="10"/>
      <c r="F57" s="10"/>
      <c r="G57" s="10"/>
      <c r="H57" s="10"/>
      <c r="I57" s="10"/>
      <c r="J57" s="10"/>
      <c r="K57" s="10"/>
      <c r="L57" s="10"/>
      <c r="M57" s="10"/>
      <c r="N57" s="10"/>
    </row>
    <row r="58" spans="1:14" x14ac:dyDescent="0.2">
      <c r="A58" s="10"/>
      <c r="B58" s="10"/>
      <c r="C58" s="10"/>
      <c r="D58" s="10"/>
      <c r="E58" s="10"/>
      <c r="F58" s="10"/>
      <c r="G58" s="10"/>
      <c r="H58" s="10"/>
      <c r="I58" s="10"/>
      <c r="J58" s="10"/>
      <c r="K58" s="10"/>
      <c r="L58" s="10"/>
      <c r="M58" s="10"/>
      <c r="N58" s="10"/>
    </row>
    <row r="59" spans="1:14" x14ac:dyDescent="0.2">
      <c r="A59" s="10"/>
      <c r="B59" s="10"/>
      <c r="C59" s="10"/>
      <c r="D59" s="10"/>
      <c r="E59" s="10"/>
      <c r="F59" s="10"/>
      <c r="G59" s="10"/>
      <c r="H59" s="10"/>
      <c r="I59" s="10"/>
      <c r="J59" s="10"/>
      <c r="K59" s="10"/>
      <c r="L59" s="10"/>
      <c r="M59" s="10"/>
      <c r="N59" s="10"/>
    </row>
    <row r="60" spans="1:14" x14ac:dyDescent="0.2">
      <c r="A60" s="10"/>
      <c r="B60" s="10"/>
      <c r="C60" s="10"/>
      <c r="D60" s="10"/>
      <c r="E60" s="10"/>
      <c r="F60" s="10"/>
      <c r="G60" s="10"/>
      <c r="H60" s="10"/>
      <c r="I60" s="10"/>
      <c r="J60" s="10"/>
      <c r="K60" s="10"/>
      <c r="L60" s="10"/>
      <c r="M60" s="10"/>
      <c r="N60" s="10"/>
    </row>
    <row r="61" spans="1:14" x14ac:dyDescent="0.2">
      <c r="A61" s="10"/>
      <c r="B61" s="10"/>
      <c r="C61" s="10"/>
      <c r="D61" s="10"/>
      <c r="E61" s="10"/>
      <c r="F61" s="10"/>
      <c r="G61" s="10"/>
      <c r="H61" s="10"/>
      <c r="I61" s="10"/>
      <c r="J61" s="10"/>
      <c r="K61" s="10"/>
      <c r="L61" s="10"/>
      <c r="M61" s="10"/>
      <c r="N61" s="10"/>
    </row>
    <row r="62" spans="1:14" x14ac:dyDescent="0.2">
      <c r="A62" s="10"/>
      <c r="B62" s="10"/>
      <c r="C62" s="10"/>
      <c r="D62" s="10"/>
      <c r="E62" s="10"/>
      <c r="F62" s="10"/>
      <c r="G62" s="10"/>
      <c r="H62" s="10"/>
      <c r="I62" s="10"/>
      <c r="J62" s="10"/>
      <c r="K62" s="10"/>
      <c r="L62" s="10"/>
      <c r="M62" s="10"/>
      <c r="N62" s="10"/>
    </row>
    <row r="63" spans="1:14" x14ac:dyDescent="0.2">
      <c r="A63" s="10"/>
      <c r="B63" s="10"/>
      <c r="C63" s="10"/>
      <c r="D63" s="10"/>
      <c r="E63" s="10"/>
      <c r="F63" s="10"/>
      <c r="G63" s="10"/>
      <c r="H63" s="10"/>
      <c r="I63" s="10"/>
      <c r="J63" s="10"/>
      <c r="K63" s="10"/>
      <c r="L63" s="10"/>
      <c r="M63" s="10"/>
      <c r="N63" s="10"/>
    </row>
    <row r="64" spans="1:14" x14ac:dyDescent="0.2">
      <c r="A64" s="10"/>
      <c r="B64" s="10"/>
      <c r="C64" s="10"/>
      <c r="D64" s="10"/>
      <c r="E64" s="10"/>
      <c r="F64" s="10"/>
      <c r="G64" s="10"/>
      <c r="H64" s="10"/>
      <c r="I64" s="10"/>
      <c r="J64" s="10"/>
      <c r="K64" s="10"/>
      <c r="L64" s="10"/>
      <c r="M64" s="10"/>
      <c r="N64" s="10"/>
    </row>
    <row r="65" spans="1:14" x14ac:dyDescent="0.2">
      <c r="A65" s="10"/>
      <c r="B65" s="10"/>
      <c r="C65" s="10"/>
      <c r="D65" s="10"/>
      <c r="E65" s="10"/>
      <c r="F65" s="10"/>
      <c r="G65" s="10"/>
      <c r="H65" s="10"/>
      <c r="I65" s="10"/>
      <c r="J65" s="10"/>
      <c r="K65" s="10"/>
      <c r="L65" s="10"/>
      <c r="M65" s="10"/>
      <c r="N65" s="10"/>
    </row>
    <row r="66" spans="1:14" x14ac:dyDescent="0.2">
      <c r="A66" s="10"/>
      <c r="B66" s="10"/>
      <c r="C66" s="10"/>
      <c r="D66" s="10"/>
      <c r="E66" s="10"/>
      <c r="F66" s="10"/>
      <c r="G66" s="10"/>
      <c r="H66" s="10"/>
      <c r="I66" s="10"/>
      <c r="J66" s="10"/>
      <c r="K66" s="10"/>
      <c r="L66" s="10"/>
      <c r="M66" s="10"/>
      <c r="N66" s="10"/>
    </row>
    <row r="67" spans="1:14" x14ac:dyDescent="0.2">
      <c r="A67" s="10"/>
      <c r="B67" s="10"/>
      <c r="C67" s="10"/>
      <c r="D67" s="10"/>
      <c r="E67" s="10"/>
      <c r="F67" s="10"/>
      <c r="G67" s="10"/>
      <c r="H67" s="10"/>
      <c r="I67" s="10"/>
      <c r="J67" s="10"/>
      <c r="K67" s="10"/>
      <c r="L67" s="10"/>
      <c r="M67" s="10"/>
      <c r="N67" s="10"/>
    </row>
    <row r="68" spans="1:14" x14ac:dyDescent="0.2">
      <c r="A68" s="10"/>
      <c r="B68" s="10"/>
      <c r="C68" s="10"/>
      <c r="D68" s="10"/>
      <c r="E68" s="10"/>
      <c r="F68" s="10"/>
      <c r="G68" s="10"/>
      <c r="H68" s="10"/>
      <c r="I68" s="10"/>
      <c r="J68" s="10"/>
      <c r="K68" s="10"/>
      <c r="L68" s="10"/>
      <c r="M68" s="10"/>
      <c r="N68" s="10"/>
    </row>
    <row r="69" spans="1:14" x14ac:dyDescent="0.2">
      <c r="A69" s="10"/>
      <c r="B69" s="10"/>
      <c r="C69" s="10"/>
      <c r="D69" s="10"/>
      <c r="E69" s="10"/>
      <c r="F69" s="10"/>
      <c r="G69" s="10"/>
      <c r="H69" s="10"/>
      <c r="I69" s="10"/>
      <c r="J69" s="10"/>
      <c r="K69" s="10"/>
      <c r="L69" s="10"/>
      <c r="M69" s="10"/>
      <c r="N69" s="10"/>
    </row>
    <row r="70" spans="1:14" x14ac:dyDescent="0.2">
      <c r="A70" s="10"/>
      <c r="B70" s="10"/>
      <c r="C70" s="10"/>
      <c r="D70" s="10"/>
      <c r="E70" s="10"/>
      <c r="F70" s="10"/>
      <c r="G70" s="10"/>
      <c r="H70" s="10"/>
      <c r="I70" s="10"/>
      <c r="J70" s="10"/>
      <c r="K70" s="10"/>
      <c r="L70" s="10"/>
      <c r="M70" s="10"/>
      <c r="N70" s="10"/>
    </row>
    <row r="71" spans="1:14" x14ac:dyDescent="0.2">
      <c r="A71" s="10"/>
      <c r="B71" s="10"/>
      <c r="C71" s="10"/>
      <c r="D71" s="10"/>
      <c r="E71" s="10"/>
      <c r="F71" s="10"/>
      <c r="G71" s="10"/>
      <c r="H71" s="10"/>
      <c r="I71" s="10"/>
      <c r="J71" s="10"/>
      <c r="K71" s="10"/>
      <c r="L71" s="10"/>
      <c r="M71" s="10"/>
      <c r="N71" s="10"/>
    </row>
    <row r="72" spans="1:14" x14ac:dyDescent="0.2">
      <c r="A72" s="10"/>
      <c r="B72" s="10"/>
      <c r="C72" s="10"/>
      <c r="D72" s="10"/>
      <c r="E72" s="10"/>
      <c r="F72" s="10"/>
      <c r="G72" s="10"/>
      <c r="H72" s="10"/>
      <c r="I72" s="10"/>
      <c r="J72" s="10"/>
      <c r="K72" s="10"/>
      <c r="L72" s="10"/>
      <c r="M72" s="10"/>
      <c r="N72" s="10"/>
    </row>
    <row r="73" spans="1:14" x14ac:dyDescent="0.2">
      <c r="A73" s="10"/>
      <c r="B73" s="10"/>
      <c r="C73" s="10"/>
      <c r="D73" s="10"/>
      <c r="E73" s="10"/>
      <c r="F73" s="10"/>
      <c r="G73" s="10"/>
      <c r="H73" s="10"/>
      <c r="I73" s="10"/>
      <c r="J73" s="10"/>
      <c r="K73" s="10"/>
      <c r="L73" s="10"/>
      <c r="M73" s="10"/>
      <c r="N73" s="10"/>
    </row>
    <row r="74" spans="1:14" x14ac:dyDescent="0.2">
      <c r="A74" s="10"/>
      <c r="B74" s="10"/>
      <c r="C74" s="10"/>
      <c r="D74" s="10"/>
      <c r="E74" s="10"/>
      <c r="F74" s="10"/>
      <c r="G74" s="10"/>
      <c r="H74" s="10"/>
      <c r="I74" s="10"/>
      <c r="J74" s="10"/>
      <c r="K74" s="10"/>
      <c r="L74" s="10"/>
      <c r="M74" s="10"/>
      <c r="N74" s="10"/>
    </row>
    <row r="75" spans="1:14" x14ac:dyDescent="0.2">
      <c r="A75" s="10"/>
      <c r="B75" s="10"/>
      <c r="C75" s="10"/>
      <c r="D75" s="10"/>
      <c r="E75" s="10"/>
      <c r="F75" s="10"/>
      <c r="G75" s="10"/>
      <c r="H75" s="10"/>
      <c r="I75" s="10"/>
      <c r="J75" s="10"/>
      <c r="K75" s="10"/>
      <c r="L75" s="10"/>
      <c r="M75" s="10"/>
      <c r="N75" s="10"/>
    </row>
    <row r="76" spans="1:14" x14ac:dyDescent="0.2">
      <c r="A76" s="10"/>
      <c r="B76" s="10"/>
      <c r="C76" s="10"/>
      <c r="D76" s="10"/>
      <c r="E76" s="10"/>
      <c r="F76" s="10"/>
      <c r="G76" s="10"/>
      <c r="H76" s="10"/>
      <c r="I76" s="10"/>
      <c r="J76" s="10"/>
      <c r="K76" s="10"/>
      <c r="L76" s="10"/>
      <c r="M76" s="10"/>
      <c r="N76" s="10"/>
    </row>
    <row r="77" spans="1:14" x14ac:dyDescent="0.2">
      <c r="A77" s="10"/>
      <c r="B77" s="10"/>
      <c r="C77" s="10"/>
      <c r="D77" s="10"/>
      <c r="E77" s="10"/>
      <c r="F77" s="10"/>
      <c r="G77" s="10"/>
      <c r="H77" s="10"/>
      <c r="I77" s="10"/>
      <c r="J77" s="10"/>
      <c r="K77" s="10"/>
      <c r="L77" s="10"/>
      <c r="M77" s="10"/>
      <c r="N77" s="10"/>
    </row>
    <row r="78" spans="1:14" x14ac:dyDescent="0.2">
      <c r="A78" s="10"/>
      <c r="B78" s="10"/>
      <c r="C78" s="10"/>
      <c r="D78" s="10"/>
      <c r="E78" s="10"/>
      <c r="F78" s="10"/>
      <c r="G78" s="10"/>
      <c r="H78" s="10"/>
      <c r="I78" s="10"/>
      <c r="J78" s="10"/>
      <c r="K78" s="10"/>
      <c r="L78" s="10"/>
      <c r="M78" s="10"/>
      <c r="N78" s="10"/>
    </row>
    <row r="79" spans="1:14" x14ac:dyDescent="0.2">
      <c r="A79" s="10"/>
      <c r="B79" s="10"/>
      <c r="C79" s="10"/>
      <c r="D79" s="10"/>
      <c r="E79" s="10"/>
      <c r="F79" s="10"/>
      <c r="G79" s="10"/>
      <c r="H79" s="10"/>
      <c r="I79" s="10"/>
      <c r="J79" s="10"/>
      <c r="K79" s="10"/>
      <c r="L79" s="10"/>
      <c r="M79" s="10"/>
      <c r="N79" s="10"/>
    </row>
    <row r="80" spans="1:14" x14ac:dyDescent="0.2">
      <c r="A80" s="10"/>
      <c r="B80" s="10"/>
      <c r="C80" s="10"/>
      <c r="D80" s="10"/>
      <c r="E80" s="10"/>
      <c r="F80" s="10"/>
      <c r="G80" s="10"/>
      <c r="H80" s="10"/>
      <c r="I80" s="10"/>
      <c r="J80" s="10"/>
      <c r="K80" s="10"/>
      <c r="L80" s="10"/>
      <c r="M80" s="10"/>
      <c r="N80" s="10"/>
    </row>
    <row r="81" spans="1:14" x14ac:dyDescent="0.2">
      <c r="A81" s="10"/>
      <c r="B81" s="10"/>
      <c r="C81" s="10"/>
      <c r="D81" s="10"/>
      <c r="E81" s="10"/>
      <c r="F81" s="10"/>
      <c r="G81" s="10"/>
      <c r="H81" s="10"/>
      <c r="I81" s="10"/>
      <c r="J81" s="10"/>
      <c r="K81" s="10"/>
      <c r="L81" s="10"/>
      <c r="M81" s="10"/>
      <c r="N81" s="10"/>
    </row>
    <row r="82" spans="1:14" x14ac:dyDescent="0.2">
      <c r="A82" s="10"/>
      <c r="B82" s="10"/>
      <c r="C82" s="10"/>
      <c r="D82" s="10"/>
      <c r="E82" s="10"/>
      <c r="F82" s="10"/>
      <c r="G82" s="10"/>
      <c r="H82" s="10"/>
      <c r="I82" s="10"/>
      <c r="J82" s="10"/>
      <c r="K82" s="10"/>
      <c r="L82" s="10"/>
      <c r="M82" s="10"/>
      <c r="N82" s="10"/>
    </row>
    <row r="83" spans="1:14" x14ac:dyDescent="0.2">
      <c r="A83" s="10"/>
      <c r="B83" s="10"/>
      <c r="C83" s="10"/>
      <c r="D83" s="10"/>
      <c r="E83" s="10"/>
      <c r="F83" s="10"/>
      <c r="G83" s="10"/>
      <c r="H83" s="10"/>
      <c r="I83" s="10"/>
      <c r="J83" s="10"/>
      <c r="K83" s="10"/>
      <c r="L83" s="10"/>
      <c r="M83" s="10"/>
      <c r="N83" s="10"/>
    </row>
    <row r="84" spans="1:14" x14ac:dyDescent="0.2">
      <c r="A84" s="10"/>
      <c r="B84" s="10"/>
      <c r="C84" s="10"/>
      <c r="D84" s="10"/>
      <c r="E84" s="10"/>
      <c r="F84" s="10"/>
      <c r="G84" s="10"/>
      <c r="H84" s="10"/>
      <c r="I84" s="10"/>
      <c r="J84" s="10"/>
      <c r="K84" s="10"/>
      <c r="L84" s="10"/>
      <c r="M84" s="10"/>
      <c r="N84" s="10"/>
    </row>
    <row r="85" spans="1:14" x14ac:dyDescent="0.2">
      <c r="A85" s="10"/>
      <c r="B85" s="10"/>
      <c r="C85" s="10"/>
      <c r="D85" s="10"/>
      <c r="E85" s="10"/>
      <c r="F85" s="10"/>
      <c r="G85" s="10"/>
      <c r="H85" s="10"/>
      <c r="I85" s="10"/>
      <c r="J85" s="10"/>
      <c r="K85" s="10"/>
      <c r="L85" s="10"/>
      <c r="M85" s="10"/>
      <c r="N85" s="10"/>
    </row>
    <row r="86" spans="1:14" x14ac:dyDescent="0.2">
      <c r="A86" s="10"/>
      <c r="B86" s="10"/>
      <c r="C86" s="10"/>
      <c r="D86" s="10"/>
      <c r="E86" s="10"/>
      <c r="F86" s="10"/>
      <c r="G86" s="10"/>
      <c r="H86" s="10"/>
      <c r="I86" s="10"/>
      <c r="J86" s="10"/>
      <c r="K86" s="10"/>
      <c r="L86" s="10"/>
      <c r="M86" s="10"/>
      <c r="N86" s="10"/>
    </row>
    <row r="87" spans="1:14" x14ac:dyDescent="0.2">
      <c r="A87" s="10"/>
      <c r="B87" s="10"/>
      <c r="C87" s="10"/>
      <c r="D87" s="10"/>
      <c r="E87" s="10"/>
      <c r="F87" s="10"/>
      <c r="G87" s="10"/>
      <c r="H87" s="10"/>
      <c r="I87" s="10"/>
      <c r="J87" s="10"/>
      <c r="K87" s="10"/>
      <c r="L87" s="10"/>
      <c r="M87" s="10"/>
      <c r="N87" s="10"/>
    </row>
    <row r="88" spans="1:14" x14ac:dyDescent="0.2">
      <c r="A88" s="10"/>
      <c r="B88" s="10"/>
      <c r="C88" s="10"/>
      <c r="D88" s="10"/>
      <c r="E88" s="10"/>
      <c r="F88" s="10"/>
      <c r="G88" s="10"/>
      <c r="H88" s="10"/>
      <c r="I88" s="10"/>
      <c r="J88" s="10"/>
      <c r="K88" s="10"/>
      <c r="L88" s="10"/>
      <c r="M88" s="10"/>
      <c r="N88" s="10"/>
    </row>
    <row r="89" spans="1:14" x14ac:dyDescent="0.2">
      <c r="A89" s="10"/>
      <c r="B89" s="10"/>
      <c r="C89" s="10"/>
      <c r="D89" s="10"/>
      <c r="E89" s="10"/>
      <c r="F89" s="10"/>
      <c r="G89" s="10"/>
      <c r="H89" s="10"/>
      <c r="I89" s="10"/>
      <c r="J89" s="10"/>
      <c r="K89" s="10"/>
      <c r="L89" s="10"/>
      <c r="M89" s="10"/>
      <c r="N89" s="10"/>
    </row>
    <row r="90" spans="1:14" x14ac:dyDescent="0.2">
      <c r="A90" s="10"/>
      <c r="B90" s="10"/>
      <c r="C90" s="10"/>
      <c r="D90" s="10"/>
      <c r="E90" s="10"/>
      <c r="F90" s="10"/>
      <c r="G90" s="10"/>
      <c r="H90" s="10"/>
      <c r="I90" s="10"/>
      <c r="J90" s="10"/>
      <c r="K90" s="10"/>
      <c r="L90" s="10"/>
      <c r="M90" s="10"/>
      <c r="N90" s="10"/>
    </row>
    <row r="91" spans="1:14" x14ac:dyDescent="0.2">
      <c r="A91" s="10"/>
      <c r="B91" s="10"/>
      <c r="C91" s="10"/>
      <c r="D91" s="10"/>
      <c r="E91" s="10"/>
      <c r="F91" s="10"/>
      <c r="G91" s="10"/>
      <c r="H91" s="10"/>
      <c r="I91" s="10"/>
      <c r="J91" s="10"/>
      <c r="K91" s="10"/>
      <c r="L91" s="10"/>
      <c r="M91" s="10"/>
      <c r="N91" s="10"/>
    </row>
    <row r="92" spans="1:14" x14ac:dyDescent="0.2">
      <c r="A92" s="10"/>
      <c r="B92" s="10"/>
      <c r="C92" s="10"/>
      <c r="D92" s="10"/>
      <c r="E92" s="10"/>
      <c r="F92" s="10"/>
      <c r="G92" s="10"/>
      <c r="H92" s="10"/>
      <c r="I92" s="10"/>
      <c r="J92" s="10"/>
      <c r="K92" s="10"/>
      <c r="L92" s="10"/>
      <c r="M92" s="10"/>
      <c r="N92" s="10"/>
    </row>
    <row r="93" spans="1:14" x14ac:dyDescent="0.2">
      <c r="A93" s="10"/>
      <c r="B93" s="10"/>
      <c r="C93" s="10"/>
      <c r="D93" s="10"/>
      <c r="E93" s="10"/>
      <c r="F93" s="10"/>
      <c r="G93" s="10"/>
      <c r="H93" s="10"/>
      <c r="I93" s="10"/>
      <c r="J93" s="10"/>
      <c r="K93" s="10"/>
      <c r="L93" s="10"/>
      <c r="M93" s="10"/>
      <c r="N93" s="10"/>
    </row>
    <row r="94" spans="1:14" x14ac:dyDescent="0.2">
      <c r="A94" s="10"/>
      <c r="B94" s="10"/>
      <c r="C94" s="10"/>
      <c r="D94" s="10"/>
      <c r="E94" s="10"/>
      <c r="F94" s="10"/>
      <c r="G94" s="10"/>
      <c r="H94" s="10"/>
      <c r="I94" s="10"/>
      <c r="J94" s="10"/>
      <c r="K94" s="10"/>
      <c r="L94" s="10"/>
      <c r="M94" s="10"/>
      <c r="N94" s="10"/>
    </row>
    <row r="95" spans="1:14" x14ac:dyDescent="0.2">
      <c r="A95" s="10"/>
      <c r="B95" s="10"/>
      <c r="C95" s="10"/>
      <c r="D95" s="10"/>
      <c r="E95" s="10"/>
      <c r="F95" s="10"/>
      <c r="G95" s="10"/>
      <c r="H95" s="10"/>
      <c r="I95" s="10"/>
      <c r="J95" s="10"/>
      <c r="K95" s="10"/>
      <c r="L95" s="10"/>
      <c r="M95" s="10"/>
      <c r="N95" s="10"/>
    </row>
    <row r="96" spans="1:14" x14ac:dyDescent="0.2">
      <c r="A96" s="10"/>
      <c r="B96" s="10"/>
      <c r="C96" s="10"/>
      <c r="D96" s="10"/>
      <c r="E96" s="10"/>
      <c r="F96" s="10"/>
      <c r="G96" s="10"/>
      <c r="H96" s="10"/>
      <c r="I96" s="10"/>
      <c r="J96" s="10"/>
      <c r="K96" s="10"/>
      <c r="L96" s="10"/>
      <c r="M96" s="10"/>
      <c r="N96" s="10"/>
    </row>
    <row r="97" spans="1:14" x14ac:dyDescent="0.2">
      <c r="A97" s="10"/>
      <c r="B97" s="10"/>
      <c r="C97" s="10"/>
      <c r="D97" s="10"/>
      <c r="E97" s="10"/>
      <c r="F97" s="10"/>
      <c r="G97" s="10"/>
      <c r="H97" s="10"/>
      <c r="I97" s="10"/>
      <c r="J97" s="10"/>
      <c r="K97" s="10"/>
      <c r="L97" s="10"/>
      <c r="M97" s="10"/>
      <c r="N97" s="10"/>
    </row>
    <row r="98" spans="1:14" x14ac:dyDescent="0.2">
      <c r="A98" s="10"/>
      <c r="B98" s="10"/>
      <c r="C98" s="10"/>
      <c r="D98" s="10"/>
      <c r="E98" s="10"/>
      <c r="F98" s="10"/>
      <c r="G98" s="10"/>
      <c r="H98" s="10"/>
      <c r="I98" s="10"/>
      <c r="J98" s="10"/>
      <c r="K98" s="10"/>
      <c r="L98" s="10"/>
      <c r="M98" s="10"/>
      <c r="N98" s="10"/>
    </row>
    <row r="99" spans="1:14" x14ac:dyDescent="0.2">
      <c r="A99" s="10"/>
      <c r="B99" s="10"/>
      <c r="C99" s="10"/>
      <c r="D99" s="10"/>
      <c r="E99" s="10"/>
      <c r="F99" s="10"/>
      <c r="G99" s="10"/>
      <c r="H99" s="10"/>
      <c r="I99" s="10"/>
      <c r="J99" s="10"/>
      <c r="K99" s="10"/>
      <c r="L99" s="10"/>
      <c r="M99" s="10"/>
      <c r="N99" s="10"/>
    </row>
    <row r="100" spans="1:14" x14ac:dyDescent="0.2">
      <c r="A100" s="10"/>
      <c r="B100" s="10"/>
      <c r="C100" s="10"/>
      <c r="D100" s="10"/>
      <c r="E100" s="10"/>
      <c r="F100" s="10"/>
      <c r="G100" s="10"/>
      <c r="H100" s="10"/>
      <c r="I100" s="10"/>
      <c r="J100" s="10"/>
      <c r="K100" s="10"/>
      <c r="L100" s="10"/>
      <c r="M100" s="10"/>
      <c r="N100" s="10"/>
    </row>
  </sheetData>
  <dataValidations count="2">
    <dataValidation type="list" allowBlank="1" showInputMessage="1" showErrorMessage="1" sqref="C16:C35" xr:uid="{B3A9D6B2-CA7F-4749-82C0-96B639594246}">
      <formula1>"Team,Department,Company"</formula1>
    </dataValidation>
    <dataValidation type="list" allowBlank="1" showInputMessage="1" showErrorMessage="1" sqref="D16:D35" xr:uid="{817B2851-51CA-774D-A562-944553256990}">
      <formula1>"Monthly,Annual"</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5D7E8-73CA-4749-869B-118AFC7732DC}">
  <sheetPr>
    <tabColor rgb="FF1F4E79"/>
  </sheetPr>
  <dimension ref="A1:N100"/>
  <sheetViews>
    <sheetView showGridLines="0" workbookViewId="0"/>
  </sheetViews>
  <sheetFormatPr baseColWidth="10" defaultRowHeight="16" x14ac:dyDescent="0.2"/>
  <cols>
    <col min="1" max="1" width="7" customWidth="1"/>
    <col min="2" max="2" width="24.1640625" customWidth="1"/>
    <col min="3" max="4" width="15.83203125" customWidth="1"/>
    <col min="5" max="6" width="18.33203125" customWidth="1"/>
    <col min="7" max="8" width="20" customWidth="1"/>
    <col min="9" max="9" width="18.33203125" customWidth="1"/>
    <col min="10" max="10" width="26.6640625" customWidth="1"/>
    <col min="11" max="11" width="21.6640625" customWidth="1"/>
  </cols>
  <sheetData>
    <row r="1" spans="1:14" ht="18" x14ac:dyDescent="0.2">
      <c r="A1" s="50"/>
      <c r="B1" s="51" t="s">
        <v>99</v>
      </c>
      <c r="C1" s="50"/>
      <c r="D1" s="50"/>
      <c r="E1" s="50"/>
      <c r="F1" s="50"/>
      <c r="G1" s="50"/>
      <c r="H1" s="50"/>
      <c r="I1" s="50"/>
      <c r="J1" s="50"/>
      <c r="K1" s="50"/>
      <c r="L1" s="10"/>
      <c r="M1" s="10"/>
      <c r="N1" s="10"/>
    </row>
    <row r="2" spans="1:14" x14ac:dyDescent="0.2">
      <c r="A2" s="50"/>
      <c r="B2" s="52" t="s">
        <v>100</v>
      </c>
      <c r="C2" s="50"/>
      <c r="D2" s="50"/>
      <c r="E2" s="50"/>
      <c r="F2" s="50"/>
      <c r="G2" s="50"/>
      <c r="H2" s="50"/>
      <c r="I2" s="50"/>
      <c r="J2" s="50"/>
      <c r="K2" s="50"/>
      <c r="L2" s="10"/>
      <c r="M2" s="10"/>
      <c r="N2" s="10"/>
    </row>
    <row r="3" spans="1:14" x14ac:dyDescent="0.2">
      <c r="A3" s="50"/>
      <c r="B3" s="50"/>
      <c r="C3" s="50"/>
      <c r="D3" s="50"/>
      <c r="E3" s="50"/>
      <c r="F3" s="50"/>
      <c r="G3" s="50"/>
      <c r="H3" s="50"/>
      <c r="I3" s="50"/>
      <c r="J3" s="50"/>
      <c r="K3" s="50"/>
      <c r="L3" s="10"/>
      <c r="M3" s="10"/>
      <c r="N3" s="10"/>
    </row>
    <row r="4" spans="1:14" x14ac:dyDescent="0.2">
      <c r="A4" s="10"/>
      <c r="B4" s="10"/>
      <c r="C4" s="10"/>
      <c r="D4" s="10"/>
      <c r="E4" s="10"/>
      <c r="F4" s="10"/>
      <c r="G4" s="10"/>
      <c r="H4" s="10"/>
      <c r="I4" s="10"/>
      <c r="J4" s="10"/>
      <c r="K4" s="10"/>
      <c r="L4" s="10"/>
      <c r="M4" s="10"/>
      <c r="N4" s="10"/>
    </row>
    <row r="5" spans="1:14" x14ac:dyDescent="0.2">
      <c r="A5" s="10"/>
      <c r="B5" s="53" t="s">
        <v>62</v>
      </c>
      <c r="C5" s="21"/>
      <c r="D5" s="21"/>
      <c r="E5" s="21"/>
      <c r="F5" s="21"/>
      <c r="G5" s="21"/>
      <c r="H5" s="21"/>
      <c r="I5" s="21"/>
      <c r="J5" s="21"/>
      <c r="K5" s="21"/>
      <c r="L5" s="10"/>
      <c r="M5" s="10"/>
      <c r="N5" s="10"/>
    </row>
    <row r="6" spans="1:14" x14ac:dyDescent="0.2">
      <c r="A6" s="10"/>
      <c r="B6" s="21" t="s">
        <v>101</v>
      </c>
      <c r="C6" s="21"/>
      <c r="D6" s="21"/>
      <c r="E6" s="21"/>
      <c r="F6" s="21"/>
      <c r="G6" s="21"/>
      <c r="H6" s="21"/>
      <c r="I6" s="21"/>
      <c r="J6" s="21"/>
      <c r="K6" s="21"/>
      <c r="L6" s="10"/>
      <c r="M6" s="10"/>
      <c r="N6" s="10"/>
    </row>
    <row r="7" spans="1:14" x14ac:dyDescent="0.2">
      <c r="A7" s="10"/>
      <c r="B7" s="21" t="s">
        <v>102</v>
      </c>
      <c r="C7" s="21"/>
      <c r="D7" s="21"/>
      <c r="E7" s="21"/>
      <c r="F7" s="21"/>
      <c r="G7" s="21"/>
      <c r="H7" s="21"/>
      <c r="I7" s="21"/>
      <c r="J7" s="21"/>
      <c r="K7" s="21"/>
      <c r="L7" s="10"/>
      <c r="M7" s="10"/>
      <c r="N7" s="10"/>
    </row>
    <row r="8" spans="1:14" x14ac:dyDescent="0.2">
      <c r="A8" s="10"/>
      <c r="B8" s="21" t="s">
        <v>103</v>
      </c>
      <c r="C8" s="21"/>
      <c r="D8" s="21"/>
      <c r="E8" s="21"/>
      <c r="F8" s="21"/>
      <c r="G8" s="21"/>
      <c r="H8" s="21"/>
      <c r="I8" s="21"/>
      <c r="J8" s="21"/>
      <c r="K8" s="21"/>
      <c r="L8" s="10"/>
      <c r="M8" s="10"/>
      <c r="N8" s="10"/>
    </row>
    <row r="9" spans="1:14" x14ac:dyDescent="0.2">
      <c r="A9" s="10"/>
      <c r="B9" s="21" t="s">
        <v>104</v>
      </c>
      <c r="C9" s="21"/>
      <c r="D9" s="21"/>
      <c r="E9" s="21"/>
      <c r="F9" s="21"/>
      <c r="G9" s="21"/>
      <c r="H9" s="21"/>
      <c r="I9" s="21"/>
      <c r="J9" s="21"/>
      <c r="K9" s="21"/>
      <c r="L9" s="10"/>
      <c r="M9" s="10"/>
      <c r="N9" s="10"/>
    </row>
    <row r="10" spans="1:14" x14ac:dyDescent="0.2">
      <c r="A10" s="10"/>
      <c r="B10" s="10"/>
      <c r="C10" s="10"/>
      <c r="D10" s="10"/>
      <c r="E10" s="10"/>
      <c r="F10" s="10"/>
      <c r="G10" s="10"/>
      <c r="H10" s="10"/>
      <c r="I10" s="10"/>
      <c r="J10" s="10"/>
      <c r="K10" s="10"/>
      <c r="L10" s="10"/>
      <c r="M10" s="10"/>
      <c r="N10" s="10"/>
    </row>
    <row r="11" spans="1:14" x14ac:dyDescent="0.2">
      <c r="A11" s="10"/>
      <c r="B11" s="6" t="s">
        <v>67</v>
      </c>
      <c r="C11" s="35"/>
      <c r="D11" s="35"/>
      <c r="E11" s="35"/>
      <c r="F11" s="35"/>
      <c r="G11" s="35"/>
      <c r="H11" s="35"/>
      <c r="I11" s="35"/>
      <c r="J11" s="35"/>
      <c r="K11" s="35"/>
      <c r="L11" s="10"/>
      <c r="M11" s="10"/>
      <c r="N11" s="10"/>
    </row>
    <row r="12" spans="1:14" ht="29" x14ac:dyDescent="0.2">
      <c r="A12" s="36" t="s">
        <v>68</v>
      </c>
      <c r="B12" s="36" t="s">
        <v>69</v>
      </c>
      <c r="C12" s="36" t="s">
        <v>12</v>
      </c>
      <c r="D12" s="36" t="s">
        <v>25</v>
      </c>
      <c r="E12" s="36" t="s">
        <v>70</v>
      </c>
      <c r="F12" s="36" t="s">
        <v>71</v>
      </c>
      <c r="G12" s="36" t="s">
        <v>72</v>
      </c>
      <c r="H12" s="36" t="s">
        <v>105</v>
      </c>
      <c r="I12" s="36" t="s">
        <v>74</v>
      </c>
      <c r="J12" s="36" t="s">
        <v>75</v>
      </c>
      <c r="K12" s="36" t="s">
        <v>106</v>
      </c>
      <c r="L12" s="10"/>
      <c r="M12" s="10"/>
      <c r="N12" s="10"/>
    </row>
    <row r="13" spans="1:14" x14ac:dyDescent="0.2">
      <c r="A13" s="37">
        <v>1</v>
      </c>
      <c r="B13" s="4" t="s">
        <v>76</v>
      </c>
      <c r="C13" s="37" t="s">
        <v>18</v>
      </c>
      <c r="D13" s="37" t="s">
        <v>46</v>
      </c>
      <c r="E13" s="38">
        <v>699</v>
      </c>
      <c r="F13" s="37" t="s">
        <v>77</v>
      </c>
      <c r="G13" s="38">
        <v>699</v>
      </c>
      <c r="H13" s="38">
        <v>349.5</v>
      </c>
      <c r="I13" s="37" t="s">
        <v>35</v>
      </c>
      <c r="J13" s="4" t="s">
        <v>78</v>
      </c>
      <c r="K13" s="38">
        <v>1048.5</v>
      </c>
      <c r="L13" s="10"/>
      <c r="M13" s="10"/>
      <c r="N13" s="10"/>
    </row>
    <row r="14" spans="1:14" x14ac:dyDescent="0.2">
      <c r="A14" s="37">
        <v>2</v>
      </c>
      <c r="B14" s="4" t="s">
        <v>76</v>
      </c>
      <c r="C14" s="37" t="s">
        <v>19</v>
      </c>
      <c r="D14" s="37" t="s">
        <v>56</v>
      </c>
      <c r="E14" s="38">
        <v>1349</v>
      </c>
      <c r="F14" s="38">
        <v>16188</v>
      </c>
      <c r="G14" s="38">
        <v>1349</v>
      </c>
      <c r="H14" s="38">
        <v>674.5</v>
      </c>
      <c r="I14" s="37" t="s">
        <v>35</v>
      </c>
      <c r="J14" s="4" t="s">
        <v>78</v>
      </c>
      <c r="K14" s="38">
        <v>2023.5</v>
      </c>
      <c r="L14" s="10"/>
      <c r="M14" s="10"/>
      <c r="N14" s="10"/>
    </row>
    <row r="15" spans="1:14" x14ac:dyDescent="0.2">
      <c r="A15" s="37">
        <v>3</v>
      </c>
      <c r="B15" s="4" t="s">
        <v>76</v>
      </c>
      <c r="C15" s="37" t="s">
        <v>17</v>
      </c>
      <c r="D15" s="37" t="s">
        <v>46</v>
      </c>
      <c r="E15" s="38">
        <v>199</v>
      </c>
      <c r="F15" s="37" t="s">
        <v>77</v>
      </c>
      <c r="G15" s="38">
        <v>199</v>
      </c>
      <c r="H15" s="38">
        <v>99.5</v>
      </c>
      <c r="I15" s="37" t="s">
        <v>35</v>
      </c>
      <c r="J15" s="4" t="s">
        <v>78</v>
      </c>
      <c r="K15" s="38">
        <v>298.5</v>
      </c>
      <c r="L15" s="10"/>
      <c r="M15" s="10"/>
      <c r="N15" s="10"/>
    </row>
    <row r="16" spans="1:14" x14ac:dyDescent="0.2">
      <c r="A16" s="54" t="str">
        <f>IF(B16&lt;&gt;"",ROW()-15,"")</f>
        <v/>
      </c>
      <c r="B16" s="13"/>
      <c r="C16" s="14"/>
      <c r="D16" s="14"/>
      <c r="E16" s="43" t="str">
        <f>IF(B16="","",IF(C16="Team",IF(D16="Monthly",'📋 PRICING REFERENCE'!C6,'📋 PRICING REFERENCE'!D6),IF(C16="Department",IF(D16="Monthly",'📋 PRICING REFERENCE'!C7,'📋 PRICING REFERENCE'!D7),IF(C16="Company",IF(D16="Monthly",'📋 PRICING REFERENCE'!C8,'📋 PRICING REFERENCE'!D8),""))))</f>
        <v/>
      </c>
      <c r="F16" s="43" t="str">
        <f>IF(B16="","",IF(D16="Annual",IF(C16="Team",'📋 PRICING REFERENCE'!E6,IF(C16="Department",'📋 PRICING REFERENCE'!E7,IF(C16="Company",'📋 PRICING REFERENCE'!E8,""))),"-"))</f>
        <v/>
      </c>
      <c r="G16" s="55" t="str">
        <f>IF(B16="","",IF(D16="Monthly",E16,IF(D16="Annual",IF(ISNUMBER(F16),F16/12,""),"")))</f>
        <v/>
      </c>
      <c r="H16" s="55" t="str">
        <f>IF(B16="","",G16*0.5)</f>
        <v/>
      </c>
      <c r="I16" s="54" t="str">
        <f>IF(B16="","","Months 1–3")</f>
        <v/>
      </c>
      <c r="J16" s="13"/>
      <c r="K16" s="55" t="str">
        <f>IF(B16="","",H16*3)</f>
        <v/>
      </c>
      <c r="L16" s="10"/>
      <c r="M16" s="10"/>
      <c r="N16" s="10"/>
    </row>
    <row r="17" spans="1:14" x14ac:dyDescent="0.2">
      <c r="A17" s="16" t="str">
        <f t="shared" ref="A17:A35" si="0">IF(B17&lt;&gt;"",ROW()-15,"")</f>
        <v/>
      </c>
      <c r="B17" s="13"/>
      <c r="C17" s="14"/>
      <c r="D17" s="14"/>
      <c r="E17" s="40" t="str">
        <f>IF(B17="","",IF(C17="Team",IF(D17="Monthly",'📋 PRICING REFERENCE'!C7,'📋 PRICING REFERENCE'!D7),IF(C17="Department",IF(D17="Monthly",'📋 PRICING REFERENCE'!C8,'📋 PRICING REFERENCE'!D8),IF(C17="Company",IF(D17="Monthly",'📋 PRICING REFERENCE'!C9,'📋 PRICING REFERENCE'!D9),""))))</f>
        <v/>
      </c>
      <c r="F17" s="40" t="str">
        <f>IF(B17="","",IF(D17="Annual",IF(C17="Team",'📋 PRICING REFERENCE'!E7,IF(C17="Department",'📋 PRICING REFERENCE'!E8,IF(C17="Company",'📋 PRICING REFERENCE'!E9,""))),"-"))</f>
        <v/>
      </c>
      <c r="G17" s="48" t="str">
        <f t="shared" ref="G17:G35" si="1">IF(B17="","",IF(D17="Monthly",E17,IF(D17="Annual",IF(ISNUMBER(F17),F17/12,""),"")))</f>
        <v/>
      </c>
      <c r="H17" s="48" t="str">
        <f t="shared" ref="H17:H35" si="2">IF(B17="","",G17*0.5)</f>
        <v/>
      </c>
      <c r="I17" s="16" t="str">
        <f t="shared" ref="I17:I35" si="3">IF(B17="","","Months 1–3")</f>
        <v/>
      </c>
      <c r="J17" s="13"/>
      <c r="K17" s="48" t="str">
        <f t="shared" ref="K17:K35" si="4">IF(B17="","",H17*3)</f>
        <v/>
      </c>
      <c r="L17" s="10"/>
      <c r="M17" s="10"/>
      <c r="N17" s="10"/>
    </row>
    <row r="18" spans="1:14" x14ac:dyDescent="0.2">
      <c r="A18" s="54" t="str">
        <f t="shared" si="0"/>
        <v/>
      </c>
      <c r="B18" s="13"/>
      <c r="C18" s="14"/>
      <c r="D18" s="14"/>
      <c r="E18" s="43" t="str">
        <f>IF(B18="","",IF(C18="Team",IF(D18="Monthly",'📋 PRICING REFERENCE'!C8,'📋 PRICING REFERENCE'!D8),IF(C18="Department",IF(D18="Monthly",'📋 PRICING REFERENCE'!C9,'📋 PRICING REFERENCE'!D9),IF(C18="Company",IF(D18="Monthly",'📋 PRICING REFERENCE'!C10,'📋 PRICING REFERENCE'!D10),""))))</f>
        <v/>
      </c>
      <c r="F18" s="43" t="str">
        <f>IF(B18="","",IF(D18="Annual",IF(C18="Team",'📋 PRICING REFERENCE'!E8,IF(C18="Department",'📋 PRICING REFERENCE'!E9,IF(C18="Company",'📋 PRICING REFERENCE'!E10,""))),"-"))</f>
        <v/>
      </c>
      <c r="G18" s="55" t="str">
        <f t="shared" si="1"/>
        <v/>
      </c>
      <c r="H18" s="55" t="str">
        <f t="shared" si="2"/>
        <v/>
      </c>
      <c r="I18" s="54" t="str">
        <f t="shared" si="3"/>
        <v/>
      </c>
      <c r="J18" s="13"/>
      <c r="K18" s="55" t="str">
        <f t="shared" si="4"/>
        <v/>
      </c>
      <c r="L18" s="10"/>
      <c r="M18" s="10"/>
      <c r="N18" s="10"/>
    </row>
    <row r="19" spans="1:14" x14ac:dyDescent="0.2">
      <c r="A19" s="16" t="str">
        <f t="shared" si="0"/>
        <v/>
      </c>
      <c r="B19" s="13"/>
      <c r="C19" s="14"/>
      <c r="D19" s="14"/>
      <c r="E19" s="40" t="str">
        <f>IF(B19="","",IF(C19="Team",IF(D19="Monthly",'📋 PRICING REFERENCE'!C9,'📋 PRICING REFERENCE'!D9),IF(C19="Department",IF(D19="Monthly",'📋 PRICING REFERENCE'!C10,'📋 PRICING REFERENCE'!D10),IF(C19="Company",IF(D19="Monthly",'📋 PRICING REFERENCE'!C11,'📋 PRICING REFERENCE'!D11),""))))</f>
        <v/>
      </c>
      <c r="F19" s="40" t="str">
        <f>IF(B19="","",IF(D19="Annual",IF(C19="Team",'📋 PRICING REFERENCE'!E9,IF(C19="Department",'📋 PRICING REFERENCE'!E10,IF(C19="Company",'📋 PRICING REFERENCE'!E11,""))),"-"))</f>
        <v/>
      </c>
      <c r="G19" s="48" t="str">
        <f t="shared" si="1"/>
        <v/>
      </c>
      <c r="H19" s="48" t="str">
        <f t="shared" si="2"/>
        <v/>
      </c>
      <c r="I19" s="16" t="str">
        <f t="shared" si="3"/>
        <v/>
      </c>
      <c r="J19" s="13"/>
      <c r="K19" s="48" t="str">
        <f t="shared" si="4"/>
        <v/>
      </c>
      <c r="L19" s="10"/>
      <c r="M19" s="10"/>
      <c r="N19" s="10"/>
    </row>
    <row r="20" spans="1:14" x14ac:dyDescent="0.2">
      <c r="A20" s="54" t="str">
        <f t="shared" si="0"/>
        <v/>
      </c>
      <c r="B20" s="13"/>
      <c r="C20" s="14"/>
      <c r="D20" s="14"/>
      <c r="E20" s="43" t="str">
        <f>IF(B20="","",IF(C20="Team",IF(D20="Monthly",'📋 PRICING REFERENCE'!C10,'📋 PRICING REFERENCE'!D10),IF(C20="Department",IF(D20="Monthly",'📋 PRICING REFERENCE'!C11,'📋 PRICING REFERENCE'!D11),IF(C20="Company",IF(D20="Monthly",'📋 PRICING REFERENCE'!C12,'📋 PRICING REFERENCE'!D12),""))))</f>
        <v/>
      </c>
      <c r="F20" s="43" t="str">
        <f>IF(B20="","",IF(D20="Annual",IF(C20="Team",'📋 PRICING REFERENCE'!E10,IF(C20="Department",'📋 PRICING REFERENCE'!E11,IF(C20="Company",'📋 PRICING REFERENCE'!E12,""))),"-"))</f>
        <v/>
      </c>
      <c r="G20" s="55" t="str">
        <f t="shared" si="1"/>
        <v/>
      </c>
      <c r="H20" s="55" t="str">
        <f t="shared" si="2"/>
        <v/>
      </c>
      <c r="I20" s="54" t="str">
        <f t="shared" si="3"/>
        <v/>
      </c>
      <c r="J20" s="13"/>
      <c r="K20" s="55" t="str">
        <f t="shared" si="4"/>
        <v/>
      </c>
      <c r="L20" s="10"/>
      <c r="M20" s="10"/>
      <c r="N20" s="10"/>
    </row>
    <row r="21" spans="1:14" x14ac:dyDescent="0.2">
      <c r="A21" s="16" t="str">
        <f t="shared" si="0"/>
        <v/>
      </c>
      <c r="B21" s="13"/>
      <c r="C21" s="14"/>
      <c r="D21" s="14"/>
      <c r="E21" s="40" t="str">
        <f>IF(B21="","",IF(C21="Team",IF(D21="Monthly",'📋 PRICING REFERENCE'!C11,'📋 PRICING REFERENCE'!D11),IF(C21="Department",IF(D21="Monthly",'📋 PRICING REFERENCE'!C12,'📋 PRICING REFERENCE'!D12),IF(C21="Company",IF(D21="Monthly",'📋 PRICING REFERENCE'!C13,'📋 PRICING REFERENCE'!D13),""))))</f>
        <v/>
      </c>
      <c r="F21" s="40" t="str">
        <f>IF(B21="","",IF(D21="Annual",IF(C21="Team",'📋 PRICING REFERENCE'!E11,IF(C21="Department",'📋 PRICING REFERENCE'!E12,IF(C21="Company",'📋 PRICING REFERENCE'!E13,""))),"-"))</f>
        <v/>
      </c>
      <c r="G21" s="48" t="str">
        <f t="shared" si="1"/>
        <v/>
      </c>
      <c r="H21" s="48" t="str">
        <f t="shared" si="2"/>
        <v/>
      </c>
      <c r="I21" s="16" t="str">
        <f t="shared" si="3"/>
        <v/>
      </c>
      <c r="J21" s="13"/>
      <c r="K21" s="48" t="str">
        <f t="shared" si="4"/>
        <v/>
      </c>
      <c r="L21" s="10"/>
      <c r="M21" s="10"/>
      <c r="N21" s="10"/>
    </row>
    <row r="22" spans="1:14" x14ac:dyDescent="0.2">
      <c r="A22" s="54" t="str">
        <f t="shared" si="0"/>
        <v/>
      </c>
      <c r="B22" s="13"/>
      <c r="C22" s="14"/>
      <c r="D22" s="14"/>
      <c r="E22" s="43" t="str">
        <f>IF(B22="","",IF(C22="Team",IF(D22="Monthly",'📋 PRICING REFERENCE'!C12,'📋 PRICING REFERENCE'!D12),IF(C22="Department",IF(D22="Monthly",'📋 PRICING REFERENCE'!C13,'📋 PRICING REFERENCE'!D13),IF(C22="Company",IF(D22="Monthly",'📋 PRICING REFERENCE'!C14,'📋 PRICING REFERENCE'!D14),""))))</f>
        <v/>
      </c>
      <c r="F22" s="43" t="str">
        <f>IF(B22="","",IF(D22="Annual",IF(C22="Team",'📋 PRICING REFERENCE'!E12,IF(C22="Department",'📋 PRICING REFERENCE'!E13,IF(C22="Company",'📋 PRICING REFERENCE'!E14,""))),"-"))</f>
        <v/>
      </c>
      <c r="G22" s="55" t="str">
        <f t="shared" si="1"/>
        <v/>
      </c>
      <c r="H22" s="55" t="str">
        <f t="shared" si="2"/>
        <v/>
      </c>
      <c r="I22" s="54" t="str">
        <f t="shared" si="3"/>
        <v/>
      </c>
      <c r="J22" s="13"/>
      <c r="K22" s="55" t="str">
        <f t="shared" si="4"/>
        <v/>
      </c>
      <c r="L22" s="10"/>
      <c r="M22" s="10"/>
      <c r="N22" s="10"/>
    </row>
    <row r="23" spans="1:14" x14ac:dyDescent="0.2">
      <c r="A23" s="16" t="str">
        <f t="shared" si="0"/>
        <v/>
      </c>
      <c r="B23" s="13"/>
      <c r="C23" s="14"/>
      <c r="D23" s="14"/>
      <c r="E23" s="40" t="str">
        <f>IF(B23="","",IF(C23="Team",IF(D23="Monthly",'📋 PRICING REFERENCE'!C13,'📋 PRICING REFERENCE'!D13),IF(C23="Department",IF(D23="Monthly",'📋 PRICING REFERENCE'!C14,'📋 PRICING REFERENCE'!D14),IF(C23="Company",IF(D23="Monthly",'📋 PRICING REFERENCE'!C15,'📋 PRICING REFERENCE'!D15),""))))</f>
        <v/>
      </c>
      <c r="F23" s="40" t="str">
        <f>IF(B23="","",IF(D23="Annual",IF(C23="Team",'📋 PRICING REFERENCE'!E13,IF(C23="Department",'📋 PRICING REFERENCE'!E14,IF(C23="Company",'📋 PRICING REFERENCE'!E15,""))),"-"))</f>
        <v/>
      </c>
      <c r="G23" s="48" t="str">
        <f t="shared" si="1"/>
        <v/>
      </c>
      <c r="H23" s="48" t="str">
        <f t="shared" si="2"/>
        <v/>
      </c>
      <c r="I23" s="16" t="str">
        <f t="shared" si="3"/>
        <v/>
      </c>
      <c r="J23" s="13"/>
      <c r="K23" s="48" t="str">
        <f t="shared" si="4"/>
        <v/>
      </c>
      <c r="L23" s="10"/>
      <c r="M23" s="10"/>
      <c r="N23" s="10"/>
    </row>
    <row r="24" spans="1:14" x14ac:dyDescent="0.2">
      <c r="A24" s="54" t="str">
        <f t="shared" si="0"/>
        <v/>
      </c>
      <c r="B24" s="13"/>
      <c r="C24" s="14"/>
      <c r="D24" s="14"/>
      <c r="E24" s="43" t="str">
        <f>IF(B24="","",IF(C24="Team",IF(D24="Monthly",'📋 PRICING REFERENCE'!C14,'📋 PRICING REFERENCE'!D14),IF(C24="Department",IF(D24="Monthly",'📋 PRICING REFERENCE'!C15,'📋 PRICING REFERENCE'!D15),IF(C24="Company",IF(D24="Monthly",'📋 PRICING REFERENCE'!C16,'📋 PRICING REFERENCE'!D16),""))))</f>
        <v/>
      </c>
      <c r="F24" s="43" t="str">
        <f>IF(B24="","",IF(D24="Annual",IF(C24="Team",'📋 PRICING REFERENCE'!E14,IF(C24="Department",'📋 PRICING REFERENCE'!E15,IF(C24="Company",'📋 PRICING REFERENCE'!E16,""))),"-"))</f>
        <v/>
      </c>
      <c r="G24" s="55" t="str">
        <f t="shared" si="1"/>
        <v/>
      </c>
      <c r="H24" s="55" t="str">
        <f t="shared" si="2"/>
        <v/>
      </c>
      <c r="I24" s="54" t="str">
        <f t="shared" si="3"/>
        <v/>
      </c>
      <c r="J24" s="13"/>
      <c r="K24" s="55" t="str">
        <f t="shared" si="4"/>
        <v/>
      </c>
      <c r="L24" s="10"/>
      <c r="M24" s="10"/>
      <c r="N24" s="10"/>
    </row>
    <row r="25" spans="1:14" x14ac:dyDescent="0.2">
      <c r="A25" s="16" t="str">
        <f t="shared" si="0"/>
        <v/>
      </c>
      <c r="B25" s="13"/>
      <c r="C25" s="14"/>
      <c r="D25" s="14"/>
      <c r="E25" s="40" t="str">
        <f>IF(B25="","",IF(C25="Team",IF(D25="Monthly",'📋 PRICING REFERENCE'!C15,'📋 PRICING REFERENCE'!D15),IF(C25="Department",IF(D25="Monthly",'📋 PRICING REFERENCE'!C16,'📋 PRICING REFERENCE'!D16),IF(C25="Company",IF(D25="Monthly",'📋 PRICING REFERENCE'!C17,'📋 PRICING REFERENCE'!D17),""))))</f>
        <v/>
      </c>
      <c r="F25" s="40" t="str">
        <f>IF(B25="","",IF(D25="Annual",IF(C25="Team",'📋 PRICING REFERENCE'!E15,IF(C25="Department",'📋 PRICING REFERENCE'!E16,IF(C25="Company",'📋 PRICING REFERENCE'!E17,""))),"-"))</f>
        <v/>
      </c>
      <c r="G25" s="48" t="str">
        <f t="shared" si="1"/>
        <v/>
      </c>
      <c r="H25" s="48" t="str">
        <f t="shared" si="2"/>
        <v/>
      </c>
      <c r="I25" s="16" t="str">
        <f t="shared" si="3"/>
        <v/>
      </c>
      <c r="J25" s="13"/>
      <c r="K25" s="48" t="str">
        <f t="shared" si="4"/>
        <v/>
      </c>
      <c r="L25" s="10"/>
      <c r="M25" s="10"/>
      <c r="N25" s="10"/>
    </row>
    <row r="26" spans="1:14" x14ac:dyDescent="0.2">
      <c r="A26" s="54" t="str">
        <f t="shared" si="0"/>
        <v/>
      </c>
      <c r="B26" s="13"/>
      <c r="C26" s="14"/>
      <c r="D26" s="14"/>
      <c r="E26" s="43" t="str">
        <f>IF(B26="","",IF(C26="Team",IF(D26="Monthly",'📋 PRICING REFERENCE'!C16,'📋 PRICING REFERENCE'!D16),IF(C26="Department",IF(D26="Monthly",'📋 PRICING REFERENCE'!C17,'📋 PRICING REFERENCE'!D17),IF(C26="Company",IF(D26="Monthly",'📋 PRICING REFERENCE'!C18,'📋 PRICING REFERENCE'!D18),""))))</f>
        <v/>
      </c>
      <c r="F26" s="43" t="str">
        <f>IF(B26="","",IF(D26="Annual",IF(C26="Team",'📋 PRICING REFERENCE'!E16,IF(C26="Department",'📋 PRICING REFERENCE'!E17,IF(C26="Company",'📋 PRICING REFERENCE'!E18,""))),"-"))</f>
        <v/>
      </c>
      <c r="G26" s="55" t="str">
        <f t="shared" si="1"/>
        <v/>
      </c>
      <c r="H26" s="55" t="str">
        <f t="shared" si="2"/>
        <v/>
      </c>
      <c r="I26" s="54" t="str">
        <f t="shared" si="3"/>
        <v/>
      </c>
      <c r="J26" s="13"/>
      <c r="K26" s="55" t="str">
        <f t="shared" si="4"/>
        <v/>
      </c>
      <c r="L26" s="10"/>
      <c r="M26" s="10"/>
      <c r="N26" s="10"/>
    </row>
    <row r="27" spans="1:14" x14ac:dyDescent="0.2">
      <c r="A27" s="16" t="str">
        <f t="shared" si="0"/>
        <v/>
      </c>
      <c r="B27" s="13"/>
      <c r="C27" s="14"/>
      <c r="D27" s="14"/>
      <c r="E27" s="40" t="str">
        <f>IF(B27="","",IF(C27="Team",IF(D27="Monthly",'📋 PRICING REFERENCE'!C17,'📋 PRICING REFERENCE'!D17),IF(C27="Department",IF(D27="Monthly",'📋 PRICING REFERENCE'!C18,'📋 PRICING REFERENCE'!D18),IF(C27="Company",IF(D27="Monthly",'📋 PRICING REFERENCE'!C19,'📋 PRICING REFERENCE'!D19),""))))</f>
        <v/>
      </c>
      <c r="F27" s="40" t="str">
        <f>IF(B27="","",IF(D27="Annual",IF(C27="Team",'📋 PRICING REFERENCE'!E17,IF(C27="Department",'📋 PRICING REFERENCE'!E18,IF(C27="Company",'📋 PRICING REFERENCE'!E19,""))),"-"))</f>
        <v/>
      </c>
      <c r="G27" s="48" t="str">
        <f t="shared" si="1"/>
        <v/>
      </c>
      <c r="H27" s="48" t="str">
        <f t="shared" si="2"/>
        <v/>
      </c>
      <c r="I27" s="16" t="str">
        <f t="shared" si="3"/>
        <v/>
      </c>
      <c r="J27" s="13"/>
      <c r="K27" s="48" t="str">
        <f t="shared" si="4"/>
        <v/>
      </c>
      <c r="L27" s="10"/>
      <c r="M27" s="10"/>
      <c r="N27" s="10"/>
    </row>
    <row r="28" spans="1:14" x14ac:dyDescent="0.2">
      <c r="A28" s="54" t="str">
        <f t="shared" si="0"/>
        <v/>
      </c>
      <c r="B28" s="13"/>
      <c r="C28" s="14"/>
      <c r="D28" s="14"/>
      <c r="E28" s="43" t="str">
        <f>IF(B28="","",IF(C28="Team",IF(D28="Monthly",'📋 PRICING REFERENCE'!C18,'📋 PRICING REFERENCE'!D18),IF(C28="Department",IF(D28="Monthly",'📋 PRICING REFERENCE'!C19,'📋 PRICING REFERENCE'!D19),IF(C28="Company",IF(D28="Monthly",'📋 PRICING REFERENCE'!C20,'📋 PRICING REFERENCE'!D20),""))))</f>
        <v/>
      </c>
      <c r="F28" s="43" t="str">
        <f>IF(B28="","",IF(D28="Annual",IF(C28="Team",'📋 PRICING REFERENCE'!E18,IF(C28="Department",'📋 PRICING REFERENCE'!E19,IF(C28="Company",'📋 PRICING REFERENCE'!E20,""))),"-"))</f>
        <v/>
      </c>
      <c r="G28" s="55" t="str">
        <f t="shared" si="1"/>
        <v/>
      </c>
      <c r="H28" s="55" t="str">
        <f t="shared" si="2"/>
        <v/>
      </c>
      <c r="I28" s="54" t="str">
        <f t="shared" si="3"/>
        <v/>
      </c>
      <c r="J28" s="13"/>
      <c r="K28" s="55" t="str">
        <f t="shared" si="4"/>
        <v/>
      </c>
      <c r="L28" s="10"/>
      <c r="M28" s="10"/>
      <c r="N28" s="10"/>
    </row>
    <row r="29" spans="1:14" x14ac:dyDescent="0.2">
      <c r="A29" s="16" t="str">
        <f t="shared" si="0"/>
        <v/>
      </c>
      <c r="B29" s="13"/>
      <c r="C29" s="14"/>
      <c r="D29" s="14"/>
      <c r="E29" s="40" t="str">
        <f>IF(B29="","",IF(C29="Team",IF(D29="Monthly",'📋 PRICING REFERENCE'!C19,'📋 PRICING REFERENCE'!D19),IF(C29="Department",IF(D29="Monthly",'📋 PRICING REFERENCE'!C20,'📋 PRICING REFERENCE'!D20),IF(C29="Company",IF(D29="Monthly",'📋 PRICING REFERENCE'!C21,'📋 PRICING REFERENCE'!D21),""))))</f>
        <v/>
      </c>
      <c r="F29" s="40" t="str">
        <f>IF(B29="","",IF(D29="Annual",IF(C29="Team",'📋 PRICING REFERENCE'!E19,IF(C29="Department",'📋 PRICING REFERENCE'!E20,IF(C29="Company",'📋 PRICING REFERENCE'!E21,""))),"-"))</f>
        <v/>
      </c>
      <c r="G29" s="48" t="str">
        <f t="shared" si="1"/>
        <v/>
      </c>
      <c r="H29" s="48" t="str">
        <f t="shared" si="2"/>
        <v/>
      </c>
      <c r="I29" s="16" t="str">
        <f t="shared" si="3"/>
        <v/>
      </c>
      <c r="J29" s="13"/>
      <c r="K29" s="48" t="str">
        <f t="shared" si="4"/>
        <v/>
      </c>
      <c r="L29" s="10"/>
      <c r="M29" s="10"/>
      <c r="N29" s="10"/>
    </row>
    <row r="30" spans="1:14" x14ac:dyDescent="0.2">
      <c r="A30" s="54" t="str">
        <f t="shared" si="0"/>
        <v/>
      </c>
      <c r="B30" s="13"/>
      <c r="C30" s="14"/>
      <c r="D30" s="14"/>
      <c r="E30" s="43" t="str">
        <f>IF(B30="","",IF(C30="Team",IF(D30="Monthly",'📋 PRICING REFERENCE'!C20,'📋 PRICING REFERENCE'!D20),IF(C30="Department",IF(D30="Monthly",'📋 PRICING REFERENCE'!C21,'📋 PRICING REFERENCE'!D21),IF(C30="Company",IF(D30="Monthly",'📋 PRICING REFERENCE'!C22,'📋 PRICING REFERENCE'!D22),""))))</f>
        <v/>
      </c>
      <c r="F30" s="43" t="str">
        <f>IF(B30="","",IF(D30="Annual",IF(C30="Team",'📋 PRICING REFERENCE'!E20,IF(C30="Department",'📋 PRICING REFERENCE'!E21,IF(C30="Company",'📋 PRICING REFERENCE'!E22,""))),"-"))</f>
        <v/>
      </c>
      <c r="G30" s="55" t="str">
        <f t="shared" si="1"/>
        <v/>
      </c>
      <c r="H30" s="55" t="str">
        <f t="shared" si="2"/>
        <v/>
      </c>
      <c r="I30" s="54" t="str">
        <f t="shared" si="3"/>
        <v/>
      </c>
      <c r="J30" s="13"/>
      <c r="K30" s="55" t="str">
        <f t="shared" si="4"/>
        <v/>
      </c>
      <c r="L30" s="10"/>
      <c r="M30" s="10"/>
      <c r="N30" s="10"/>
    </row>
    <row r="31" spans="1:14" x14ac:dyDescent="0.2">
      <c r="A31" s="16" t="str">
        <f t="shared" si="0"/>
        <v/>
      </c>
      <c r="B31" s="13"/>
      <c r="C31" s="14"/>
      <c r="D31" s="14"/>
      <c r="E31" s="40" t="str">
        <f>IF(B31="","",IF(C31="Team",IF(D31="Monthly",'📋 PRICING REFERENCE'!C21,'📋 PRICING REFERENCE'!D21),IF(C31="Department",IF(D31="Monthly",'📋 PRICING REFERENCE'!C22,'📋 PRICING REFERENCE'!D22),IF(C31="Company",IF(D31="Monthly",'📋 PRICING REFERENCE'!C23,'📋 PRICING REFERENCE'!D23),""))))</f>
        <v/>
      </c>
      <c r="F31" s="40" t="str">
        <f>IF(B31="","",IF(D31="Annual",IF(C31="Team",'📋 PRICING REFERENCE'!E21,IF(C31="Department",'📋 PRICING REFERENCE'!E22,IF(C31="Company",'📋 PRICING REFERENCE'!E23,""))),"-"))</f>
        <v/>
      </c>
      <c r="G31" s="48" t="str">
        <f t="shared" si="1"/>
        <v/>
      </c>
      <c r="H31" s="48" t="str">
        <f t="shared" si="2"/>
        <v/>
      </c>
      <c r="I31" s="16" t="str">
        <f t="shared" si="3"/>
        <v/>
      </c>
      <c r="J31" s="13"/>
      <c r="K31" s="48" t="str">
        <f t="shared" si="4"/>
        <v/>
      </c>
      <c r="L31" s="10"/>
      <c r="M31" s="10"/>
      <c r="N31" s="10"/>
    </row>
    <row r="32" spans="1:14" x14ac:dyDescent="0.2">
      <c r="A32" s="54" t="str">
        <f t="shared" si="0"/>
        <v/>
      </c>
      <c r="B32" s="13"/>
      <c r="C32" s="14"/>
      <c r="D32" s="14"/>
      <c r="E32" s="43" t="str">
        <f>IF(B32="","",IF(C32="Team",IF(D32="Monthly",'📋 PRICING REFERENCE'!C22,'📋 PRICING REFERENCE'!D22),IF(C32="Department",IF(D32="Monthly",'📋 PRICING REFERENCE'!C23,'📋 PRICING REFERENCE'!D23),IF(C32="Company",IF(D32="Monthly",'📋 PRICING REFERENCE'!C24,'📋 PRICING REFERENCE'!D24),""))))</f>
        <v/>
      </c>
      <c r="F32" s="43" t="str">
        <f>IF(B32="","",IF(D32="Annual",IF(C32="Team",'📋 PRICING REFERENCE'!E22,IF(C32="Department",'📋 PRICING REFERENCE'!E23,IF(C32="Company",'📋 PRICING REFERENCE'!E24,""))),"-"))</f>
        <v/>
      </c>
      <c r="G32" s="55" t="str">
        <f t="shared" si="1"/>
        <v/>
      </c>
      <c r="H32" s="55" t="str">
        <f t="shared" si="2"/>
        <v/>
      </c>
      <c r="I32" s="54" t="str">
        <f t="shared" si="3"/>
        <v/>
      </c>
      <c r="J32" s="13"/>
      <c r="K32" s="55" t="str">
        <f t="shared" si="4"/>
        <v/>
      </c>
      <c r="L32" s="10"/>
      <c r="M32" s="10"/>
      <c r="N32" s="10"/>
    </row>
    <row r="33" spans="1:14" x14ac:dyDescent="0.2">
      <c r="A33" s="16" t="str">
        <f t="shared" si="0"/>
        <v/>
      </c>
      <c r="B33" s="13"/>
      <c r="C33" s="14"/>
      <c r="D33" s="14"/>
      <c r="E33" s="40" t="str">
        <f>IF(B33="","",IF(C33="Team",IF(D33="Monthly",'📋 PRICING REFERENCE'!C23,'📋 PRICING REFERENCE'!D23),IF(C33="Department",IF(D33="Monthly",'📋 PRICING REFERENCE'!C24,'📋 PRICING REFERENCE'!D24),IF(C33="Company",IF(D33="Monthly",'📋 PRICING REFERENCE'!C25,'📋 PRICING REFERENCE'!D25),""))))</f>
        <v/>
      </c>
      <c r="F33" s="40" t="str">
        <f>IF(B33="","",IF(D33="Annual",IF(C33="Team",'📋 PRICING REFERENCE'!E23,IF(C33="Department",'📋 PRICING REFERENCE'!E24,IF(C33="Company",'📋 PRICING REFERENCE'!E25,""))),"-"))</f>
        <v/>
      </c>
      <c r="G33" s="48" t="str">
        <f t="shared" si="1"/>
        <v/>
      </c>
      <c r="H33" s="48" t="str">
        <f t="shared" si="2"/>
        <v/>
      </c>
      <c r="I33" s="16" t="str">
        <f t="shared" si="3"/>
        <v/>
      </c>
      <c r="J33" s="13"/>
      <c r="K33" s="48" t="str">
        <f t="shared" si="4"/>
        <v/>
      </c>
      <c r="L33" s="10"/>
      <c r="M33" s="10"/>
      <c r="N33" s="10"/>
    </row>
    <row r="34" spans="1:14" x14ac:dyDescent="0.2">
      <c r="A34" s="54" t="str">
        <f t="shared" si="0"/>
        <v/>
      </c>
      <c r="B34" s="13"/>
      <c r="C34" s="14"/>
      <c r="D34" s="14"/>
      <c r="E34" s="43" t="str">
        <f>IF(B34="","",IF(C34="Team",IF(D34="Monthly",'📋 PRICING REFERENCE'!C24,'📋 PRICING REFERENCE'!D24),IF(C34="Department",IF(D34="Monthly",'📋 PRICING REFERENCE'!C25,'📋 PRICING REFERENCE'!D25),IF(C34="Company",IF(D34="Monthly",'📋 PRICING REFERENCE'!C26,'📋 PRICING REFERENCE'!D26),""))))</f>
        <v/>
      </c>
      <c r="F34" s="43" t="str">
        <f>IF(B34="","",IF(D34="Annual",IF(C34="Team",'📋 PRICING REFERENCE'!E24,IF(C34="Department",'📋 PRICING REFERENCE'!E25,IF(C34="Company",'📋 PRICING REFERENCE'!E26,""))),"-"))</f>
        <v/>
      </c>
      <c r="G34" s="55" t="str">
        <f t="shared" si="1"/>
        <v/>
      </c>
      <c r="H34" s="55" t="str">
        <f t="shared" si="2"/>
        <v/>
      </c>
      <c r="I34" s="54" t="str">
        <f t="shared" si="3"/>
        <v/>
      </c>
      <c r="J34" s="13"/>
      <c r="K34" s="55" t="str">
        <f t="shared" si="4"/>
        <v/>
      </c>
      <c r="L34" s="10"/>
      <c r="M34" s="10"/>
      <c r="N34" s="10"/>
    </row>
    <row r="35" spans="1:14" x14ac:dyDescent="0.2">
      <c r="A35" s="16" t="str">
        <f t="shared" si="0"/>
        <v/>
      </c>
      <c r="B35" s="13"/>
      <c r="C35" s="14"/>
      <c r="D35" s="14"/>
      <c r="E35" s="40" t="str">
        <f>IF(B35="","",IF(C35="Team",IF(D35="Monthly",'📋 PRICING REFERENCE'!C25,'📋 PRICING REFERENCE'!D25),IF(C35="Department",IF(D35="Monthly",'📋 PRICING REFERENCE'!C26,'📋 PRICING REFERENCE'!D26),IF(C35="Company",IF(D35="Monthly",'📋 PRICING REFERENCE'!C27,'📋 PRICING REFERENCE'!D27),""))))</f>
        <v/>
      </c>
      <c r="F35" s="40" t="str">
        <f>IF(B35="","",IF(D35="Annual",IF(C35="Team",'📋 PRICING REFERENCE'!E25,IF(C35="Department",'📋 PRICING REFERENCE'!E26,IF(C35="Company",'📋 PRICING REFERENCE'!E27,""))),"-"))</f>
        <v/>
      </c>
      <c r="G35" s="48" t="str">
        <f t="shared" si="1"/>
        <v/>
      </c>
      <c r="H35" s="48" t="str">
        <f t="shared" si="2"/>
        <v/>
      </c>
      <c r="I35" s="16" t="str">
        <f t="shared" si="3"/>
        <v/>
      </c>
      <c r="J35" s="13"/>
      <c r="K35" s="48" t="str">
        <f t="shared" si="4"/>
        <v/>
      </c>
      <c r="L35" s="10"/>
      <c r="M35" s="10"/>
      <c r="N35" s="10"/>
    </row>
    <row r="36" spans="1:14" x14ac:dyDescent="0.2">
      <c r="A36" s="10"/>
      <c r="B36" s="10"/>
      <c r="C36" s="10"/>
      <c r="D36" s="10"/>
      <c r="E36" s="10"/>
      <c r="F36" s="10"/>
      <c r="G36" s="10"/>
      <c r="H36" s="10"/>
      <c r="I36" s="10"/>
      <c r="J36" s="10"/>
      <c r="K36" s="10"/>
      <c r="L36" s="10"/>
      <c r="M36" s="10"/>
      <c r="N36" s="10"/>
    </row>
    <row r="37" spans="1:14" x14ac:dyDescent="0.2">
      <c r="A37" s="10"/>
      <c r="B37" s="7" t="s">
        <v>79</v>
      </c>
      <c r="C37" s="10"/>
      <c r="D37" s="10"/>
      <c r="E37" s="10"/>
      <c r="F37" s="10"/>
      <c r="G37" s="10"/>
      <c r="H37" s="10"/>
      <c r="I37" s="10"/>
      <c r="J37" s="10"/>
      <c r="K37" s="10"/>
      <c r="L37" s="10"/>
      <c r="M37" s="10"/>
      <c r="N37" s="10"/>
    </row>
    <row r="38" spans="1:14" x14ac:dyDescent="0.2">
      <c r="A38" s="10"/>
      <c r="B38" s="8" t="s">
        <v>80</v>
      </c>
      <c r="C38" s="10"/>
      <c r="D38" s="10"/>
      <c r="E38" s="10"/>
      <c r="F38" s="10"/>
      <c r="G38" s="46">
        <f>COUNTA(B16:B35)</f>
        <v>0</v>
      </c>
      <c r="H38" s="10"/>
      <c r="I38" s="10"/>
      <c r="J38" s="10"/>
      <c r="K38" s="10"/>
      <c r="L38" s="10"/>
      <c r="M38" s="10"/>
      <c r="N38" s="10"/>
    </row>
    <row r="39" spans="1:14" x14ac:dyDescent="0.2">
      <c r="A39" s="10"/>
      <c r="B39" s="8" t="s">
        <v>107</v>
      </c>
      <c r="C39" s="10"/>
      <c r="D39" s="10"/>
      <c r="E39" s="10"/>
      <c r="F39" s="10"/>
      <c r="G39" s="47">
        <f>SUM(H16:H35)</f>
        <v>0</v>
      </c>
      <c r="H39" s="10"/>
      <c r="I39" s="10"/>
      <c r="J39" s="10"/>
      <c r="K39" s="10"/>
      <c r="L39" s="10"/>
      <c r="M39" s="10"/>
      <c r="N39" s="10"/>
    </row>
    <row r="40" spans="1:14" x14ac:dyDescent="0.2">
      <c r="A40" s="10"/>
      <c r="B40" s="8" t="s">
        <v>108</v>
      </c>
      <c r="C40" s="10"/>
      <c r="D40" s="10"/>
      <c r="E40" s="10"/>
      <c r="F40" s="10"/>
      <c r="G40" s="47">
        <f>SUM(K16:K35)</f>
        <v>0</v>
      </c>
      <c r="H40" s="10"/>
      <c r="I40" s="10"/>
      <c r="J40" s="10"/>
      <c r="K40" s="10"/>
      <c r="L40" s="10"/>
      <c r="M40" s="10"/>
      <c r="N40" s="10"/>
    </row>
    <row r="41" spans="1:14" x14ac:dyDescent="0.2">
      <c r="A41" s="10"/>
      <c r="B41" s="8" t="s">
        <v>109</v>
      </c>
      <c r="C41" s="10"/>
      <c r="D41" s="10"/>
      <c r="E41" s="10"/>
      <c r="F41" s="10"/>
      <c r="G41" s="47">
        <f>IFERROR(SUM(K16:K35)/COUNTA(B16:B35),0)</f>
        <v>0</v>
      </c>
      <c r="H41" s="10"/>
      <c r="I41" s="10"/>
      <c r="J41" s="10"/>
      <c r="K41" s="10"/>
      <c r="L41" s="10"/>
      <c r="M41" s="10"/>
      <c r="N41" s="10"/>
    </row>
    <row r="42" spans="1:14" x14ac:dyDescent="0.2">
      <c r="A42" s="10"/>
      <c r="B42" s="8" t="s">
        <v>110</v>
      </c>
      <c r="C42" s="10"/>
      <c r="D42" s="10"/>
      <c r="E42" s="10"/>
      <c r="F42" s="10"/>
      <c r="G42" s="47">
        <f>IFERROR(MAX(K16:K35),0)</f>
        <v>0</v>
      </c>
      <c r="H42" s="10"/>
      <c r="I42" s="10"/>
      <c r="J42" s="10"/>
      <c r="K42" s="10"/>
      <c r="L42" s="10"/>
      <c r="M42" s="10"/>
      <c r="N42" s="10"/>
    </row>
    <row r="43" spans="1:14" x14ac:dyDescent="0.2">
      <c r="A43" s="10"/>
      <c r="B43" s="10"/>
      <c r="C43" s="10"/>
      <c r="D43" s="10"/>
      <c r="E43" s="10"/>
      <c r="F43" s="10"/>
      <c r="G43" s="10"/>
      <c r="H43" s="10"/>
      <c r="I43" s="10"/>
      <c r="J43" s="10"/>
      <c r="K43" s="10"/>
      <c r="L43" s="10"/>
      <c r="M43" s="10"/>
      <c r="N43" s="10"/>
    </row>
    <row r="44" spans="1:14" x14ac:dyDescent="0.2">
      <c r="A44" s="6" t="s">
        <v>84</v>
      </c>
      <c r="B44" s="10"/>
      <c r="C44" s="10"/>
      <c r="D44" s="10"/>
      <c r="E44" s="10"/>
      <c r="F44" s="10"/>
      <c r="G44" s="10"/>
      <c r="H44" s="10"/>
      <c r="I44" s="10"/>
      <c r="J44" s="10"/>
      <c r="K44" s="10"/>
      <c r="L44" s="10"/>
      <c r="M44" s="10"/>
      <c r="N44" s="10"/>
    </row>
    <row r="45" spans="1:14" x14ac:dyDescent="0.2">
      <c r="A45" s="9"/>
      <c r="B45" s="9" t="s">
        <v>85</v>
      </c>
      <c r="C45" s="9" t="s">
        <v>86</v>
      </c>
      <c r="D45" s="9" t="s">
        <v>87</v>
      </c>
      <c r="E45" s="9" t="s">
        <v>88</v>
      </c>
      <c r="F45" s="9" t="s">
        <v>89</v>
      </c>
      <c r="G45" s="9" t="s">
        <v>90</v>
      </c>
      <c r="H45" s="9" t="s">
        <v>91</v>
      </c>
      <c r="I45" s="9" t="s">
        <v>92</v>
      </c>
      <c r="J45" s="9" t="s">
        <v>93</v>
      </c>
      <c r="K45" s="9" t="s">
        <v>94</v>
      </c>
      <c r="L45" s="9" t="s">
        <v>95</v>
      </c>
      <c r="M45" s="9" t="s">
        <v>96</v>
      </c>
      <c r="N45" s="9" t="s">
        <v>97</v>
      </c>
    </row>
    <row r="46" spans="1:14" x14ac:dyDescent="0.2">
      <c r="A46" s="11" t="s">
        <v>98</v>
      </c>
      <c r="B46" s="48">
        <f>IF(1&lt;=3,SUM(H16:H35),0)</f>
        <v>0</v>
      </c>
      <c r="C46" s="48">
        <f>IF(2&lt;=3,SUM(H16:H35),0)</f>
        <v>0</v>
      </c>
      <c r="D46" s="48">
        <f>IF(3&lt;=3,SUM(H16:H35),0)</f>
        <v>0</v>
      </c>
      <c r="E46" s="48">
        <f>IF(4&lt;=3,SUM(H16:H35),0)</f>
        <v>0</v>
      </c>
      <c r="F46" s="48">
        <f>IF(5&lt;=3,SUM(H16:H35),0)</f>
        <v>0</v>
      </c>
      <c r="G46" s="48">
        <f>IF(6&lt;=3,SUM(H16:H35),0)</f>
        <v>0</v>
      </c>
      <c r="H46" s="48">
        <f>IF(7&lt;=3,SUM(H16:H35),0)</f>
        <v>0</v>
      </c>
      <c r="I46" s="48">
        <f>IF(8&lt;=3,SUM(H16:H35),0)</f>
        <v>0</v>
      </c>
      <c r="J46" s="48">
        <f>IF(9&lt;=3,SUM(H16:H35),0)</f>
        <v>0</v>
      </c>
      <c r="K46" s="48">
        <f>IF(10&lt;=3,SUM(H16:H35),0)</f>
        <v>0</v>
      </c>
      <c r="L46" s="48">
        <f>IF(11&lt;=3,SUM(H16:H35),0)</f>
        <v>0</v>
      </c>
      <c r="M46" s="48">
        <f>IF(12&lt;=3,SUM(H16:H35),0)</f>
        <v>0</v>
      </c>
      <c r="N46" s="49">
        <f>SUM(B46:M46)</f>
        <v>0</v>
      </c>
    </row>
    <row r="47" spans="1:14" x14ac:dyDescent="0.2">
      <c r="A47" s="10"/>
      <c r="B47" s="10"/>
      <c r="C47" s="10"/>
      <c r="D47" s="10"/>
      <c r="E47" s="10"/>
      <c r="F47" s="10"/>
      <c r="G47" s="10"/>
      <c r="H47" s="10"/>
      <c r="I47" s="10"/>
      <c r="J47" s="10"/>
      <c r="K47" s="10"/>
      <c r="L47" s="10"/>
      <c r="M47" s="10"/>
      <c r="N47" s="10"/>
    </row>
    <row r="48" spans="1:14" x14ac:dyDescent="0.2">
      <c r="A48" s="10"/>
      <c r="B48" s="10"/>
      <c r="C48" s="10"/>
      <c r="D48" s="10"/>
      <c r="E48" s="10"/>
      <c r="F48" s="10"/>
      <c r="G48" s="10"/>
      <c r="H48" s="10"/>
      <c r="I48" s="10"/>
      <c r="J48" s="10"/>
      <c r="K48" s="10"/>
      <c r="L48" s="10"/>
      <c r="M48" s="10"/>
      <c r="N48" s="10"/>
    </row>
    <row r="49" spans="1:14" x14ac:dyDescent="0.2">
      <c r="A49" s="10"/>
      <c r="B49" s="10"/>
      <c r="C49" s="10"/>
      <c r="D49" s="10"/>
      <c r="E49" s="10"/>
      <c r="F49" s="10"/>
      <c r="G49" s="10"/>
      <c r="H49" s="10"/>
      <c r="I49" s="10"/>
      <c r="J49" s="10"/>
      <c r="K49" s="10"/>
      <c r="L49" s="10"/>
      <c r="M49" s="10"/>
      <c r="N49" s="10"/>
    </row>
    <row r="50" spans="1:14" x14ac:dyDescent="0.2">
      <c r="A50" s="10"/>
      <c r="B50" s="10"/>
      <c r="C50" s="10"/>
      <c r="D50" s="10"/>
      <c r="E50" s="10"/>
      <c r="F50" s="10"/>
      <c r="G50" s="10"/>
      <c r="H50" s="10"/>
      <c r="I50" s="10"/>
      <c r="J50" s="10"/>
      <c r="K50" s="10"/>
      <c r="L50" s="10"/>
      <c r="M50" s="10"/>
      <c r="N50" s="10"/>
    </row>
    <row r="51" spans="1:14" x14ac:dyDescent="0.2">
      <c r="A51" s="10"/>
      <c r="B51" s="10"/>
      <c r="C51" s="10"/>
      <c r="D51" s="10"/>
      <c r="E51" s="10"/>
      <c r="F51" s="10"/>
      <c r="G51" s="10"/>
      <c r="H51" s="10"/>
      <c r="I51" s="10"/>
      <c r="J51" s="10"/>
      <c r="K51" s="10"/>
      <c r="L51" s="10"/>
      <c r="M51" s="10"/>
      <c r="N51" s="10"/>
    </row>
    <row r="52" spans="1:14" x14ac:dyDescent="0.2">
      <c r="A52" s="10"/>
      <c r="B52" s="10"/>
      <c r="C52" s="10"/>
      <c r="D52" s="10"/>
      <c r="E52" s="10"/>
      <c r="F52" s="10"/>
      <c r="G52" s="10"/>
      <c r="H52" s="10"/>
      <c r="I52" s="10"/>
      <c r="J52" s="10"/>
      <c r="K52" s="10"/>
      <c r="L52" s="10"/>
      <c r="M52" s="10"/>
      <c r="N52" s="10"/>
    </row>
    <row r="53" spans="1:14" x14ac:dyDescent="0.2">
      <c r="A53" s="10"/>
      <c r="B53" s="10"/>
      <c r="C53" s="10"/>
      <c r="D53" s="10"/>
      <c r="E53" s="10"/>
      <c r="F53" s="10"/>
      <c r="G53" s="10"/>
      <c r="H53" s="10"/>
      <c r="I53" s="10"/>
      <c r="J53" s="10"/>
      <c r="K53" s="10"/>
      <c r="L53" s="10"/>
      <c r="M53" s="10"/>
      <c r="N53" s="10"/>
    </row>
    <row r="54" spans="1:14" x14ac:dyDescent="0.2">
      <c r="A54" s="10"/>
      <c r="B54" s="10"/>
      <c r="C54" s="10"/>
      <c r="D54" s="10"/>
      <c r="E54" s="10"/>
      <c r="F54" s="10"/>
      <c r="G54" s="10"/>
      <c r="H54" s="10"/>
      <c r="I54" s="10"/>
      <c r="J54" s="10"/>
      <c r="K54" s="10"/>
      <c r="L54" s="10"/>
      <c r="M54" s="10"/>
      <c r="N54" s="10"/>
    </row>
    <row r="55" spans="1:14" x14ac:dyDescent="0.2">
      <c r="A55" s="10"/>
      <c r="B55" s="10"/>
      <c r="C55" s="10"/>
      <c r="D55" s="10"/>
      <c r="E55" s="10"/>
      <c r="F55" s="10"/>
      <c r="G55" s="10"/>
      <c r="H55" s="10"/>
      <c r="I55" s="10"/>
      <c r="J55" s="10"/>
      <c r="K55" s="10"/>
      <c r="L55" s="10"/>
      <c r="M55" s="10"/>
      <c r="N55" s="10"/>
    </row>
    <row r="56" spans="1:14" x14ac:dyDescent="0.2">
      <c r="A56" s="10"/>
      <c r="B56" s="10"/>
      <c r="C56" s="10"/>
      <c r="D56" s="10"/>
      <c r="E56" s="10"/>
      <c r="F56" s="10"/>
      <c r="G56" s="10"/>
      <c r="H56" s="10"/>
      <c r="I56" s="10"/>
      <c r="J56" s="10"/>
      <c r="K56" s="10"/>
      <c r="L56" s="10"/>
      <c r="M56" s="10"/>
      <c r="N56" s="10"/>
    </row>
    <row r="57" spans="1:14" x14ac:dyDescent="0.2">
      <c r="A57" s="10"/>
      <c r="B57" s="10"/>
      <c r="C57" s="10"/>
      <c r="D57" s="10"/>
      <c r="E57" s="10"/>
      <c r="F57" s="10"/>
      <c r="G57" s="10"/>
      <c r="H57" s="10"/>
      <c r="I57" s="10"/>
      <c r="J57" s="10"/>
      <c r="K57" s="10"/>
      <c r="L57" s="10"/>
      <c r="M57" s="10"/>
      <c r="N57" s="10"/>
    </row>
    <row r="58" spans="1:14" x14ac:dyDescent="0.2">
      <c r="A58" s="10"/>
      <c r="B58" s="10"/>
      <c r="C58" s="10"/>
      <c r="D58" s="10"/>
      <c r="E58" s="10"/>
      <c r="F58" s="10"/>
      <c r="G58" s="10"/>
      <c r="H58" s="10"/>
      <c r="I58" s="10"/>
      <c r="J58" s="10"/>
      <c r="K58" s="10"/>
      <c r="L58" s="10"/>
      <c r="M58" s="10"/>
      <c r="N58" s="10"/>
    </row>
    <row r="59" spans="1:14" x14ac:dyDescent="0.2">
      <c r="A59" s="10"/>
      <c r="B59" s="10"/>
      <c r="C59" s="10"/>
      <c r="D59" s="10"/>
      <c r="E59" s="10"/>
      <c r="F59" s="10"/>
      <c r="G59" s="10"/>
      <c r="H59" s="10"/>
      <c r="I59" s="10"/>
      <c r="J59" s="10"/>
      <c r="K59" s="10"/>
      <c r="L59" s="10"/>
      <c r="M59" s="10"/>
      <c r="N59" s="10"/>
    </row>
    <row r="60" spans="1:14" x14ac:dyDescent="0.2">
      <c r="A60" s="10"/>
      <c r="B60" s="10"/>
      <c r="C60" s="10"/>
      <c r="D60" s="10"/>
      <c r="E60" s="10"/>
      <c r="F60" s="10"/>
      <c r="G60" s="10"/>
      <c r="H60" s="10"/>
      <c r="I60" s="10"/>
      <c r="J60" s="10"/>
      <c r="K60" s="10"/>
      <c r="L60" s="10"/>
      <c r="M60" s="10"/>
      <c r="N60" s="10"/>
    </row>
    <row r="61" spans="1:14" x14ac:dyDescent="0.2">
      <c r="A61" s="10"/>
      <c r="B61" s="10"/>
      <c r="C61" s="10"/>
      <c r="D61" s="10"/>
      <c r="E61" s="10"/>
      <c r="F61" s="10"/>
      <c r="G61" s="10"/>
      <c r="H61" s="10"/>
      <c r="I61" s="10"/>
      <c r="J61" s="10"/>
      <c r="K61" s="10"/>
      <c r="L61" s="10"/>
      <c r="M61" s="10"/>
      <c r="N61" s="10"/>
    </row>
    <row r="62" spans="1:14" x14ac:dyDescent="0.2">
      <c r="A62" s="10"/>
      <c r="B62" s="10"/>
      <c r="C62" s="10"/>
      <c r="D62" s="10"/>
      <c r="E62" s="10"/>
      <c r="F62" s="10"/>
      <c r="G62" s="10"/>
      <c r="H62" s="10"/>
      <c r="I62" s="10"/>
      <c r="J62" s="10"/>
      <c r="K62" s="10"/>
      <c r="L62" s="10"/>
      <c r="M62" s="10"/>
      <c r="N62" s="10"/>
    </row>
    <row r="63" spans="1:14" x14ac:dyDescent="0.2">
      <c r="A63" s="10"/>
      <c r="B63" s="10"/>
      <c r="C63" s="10"/>
      <c r="D63" s="10"/>
      <c r="E63" s="10"/>
      <c r="F63" s="10"/>
      <c r="G63" s="10"/>
      <c r="H63" s="10"/>
      <c r="I63" s="10"/>
      <c r="J63" s="10"/>
      <c r="K63" s="10"/>
      <c r="L63" s="10"/>
      <c r="M63" s="10"/>
      <c r="N63" s="10"/>
    </row>
    <row r="64" spans="1:14" x14ac:dyDescent="0.2">
      <c r="A64" s="10"/>
      <c r="B64" s="10"/>
      <c r="C64" s="10"/>
      <c r="D64" s="10"/>
      <c r="E64" s="10"/>
      <c r="F64" s="10"/>
      <c r="G64" s="10"/>
      <c r="H64" s="10"/>
      <c r="I64" s="10"/>
      <c r="J64" s="10"/>
      <c r="K64" s="10"/>
      <c r="L64" s="10"/>
      <c r="M64" s="10"/>
      <c r="N64" s="10"/>
    </row>
    <row r="65" spans="1:14" x14ac:dyDescent="0.2">
      <c r="A65" s="10"/>
      <c r="B65" s="10"/>
      <c r="C65" s="10"/>
      <c r="D65" s="10"/>
      <c r="E65" s="10"/>
      <c r="F65" s="10"/>
      <c r="G65" s="10"/>
      <c r="H65" s="10"/>
      <c r="I65" s="10"/>
      <c r="J65" s="10"/>
      <c r="K65" s="10"/>
      <c r="L65" s="10"/>
      <c r="M65" s="10"/>
      <c r="N65" s="10"/>
    </row>
    <row r="66" spans="1:14" x14ac:dyDescent="0.2">
      <c r="A66" s="10"/>
      <c r="B66" s="10"/>
      <c r="C66" s="10"/>
      <c r="D66" s="10"/>
      <c r="E66" s="10"/>
      <c r="F66" s="10"/>
      <c r="G66" s="10"/>
      <c r="H66" s="10"/>
      <c r="I66" s="10"/>
      <c r="J66" s="10"/>
      <c r="K66" s="10"/>
      <c r="L66" s="10"/>
      <c r="M66" s="10"/>
      <c r="N66" s="10"/>
    </row>
    <row r="67" spans="1:14" x14ac:dyDescent="0.2">
      <c r="A67" s="10"/>
      <c r="B67" s="10"/>
      <c r="C67" s="10"/>
      <c r="D67" s="10"/>
      <c r="E67" s="10"/>
      <c r="F67" s="10"/>
      <c r="G67" s="10"/>
      <c r="H67" s="10"/>
      <c r="I67" s="10"/>
      <c r="J67" s="10"/>
      <c r="K67" s="10"/>
      <c r="L67" s="10"/>
      <c r="M67" s="10"/>
      <c r="N67" s="10"/>
    </row>
    <row r="68" spans="1:14" x14ac:dyDescent="0.2">
      <c r="A68" s="10"/>
      <c r="B68" s="10"/>
      <c r="C68" s="10"/>
      <c r="D68" s="10"/>
      <c r="E68" s="10"/>
      <c r="F68" s="10"/>
      <c r="G68" s="10"/>
      <c r="H68" s="10"/>
      <c r="I68" s="10"/>
      <c r="J68" s="10"/>
      <c r="K68" s="10"/>
      <c r="L68" s="10"/>
      <c r="M68" s="10"/>
      <c r="N68" s="10"/>
    </row>
    <row r="69" spans="1:14" x14ac:dyDescent="0.2">
      <c r="A69" s="10"/>
      <c r="B69" s="10"/>
      <c r="C69" s="10"/>
      <c r="D69" s="10"/>
      <c r="E69" s="10"/>
      <c r="F69" s="10"/>
      <c r="G69" s="10"/>
      <c r="H69" s="10"/>
      <c r="I69" s="10"/>
      <c r="J69" s="10"/>
      <c r="K69" s="10"/>
      <c r="L69" s="10"/>
      <c r="M69" s="10"/>
      <c r="N69" s="10"/>
    </row>
    <row r="70" spans="1:14" x14ac:dyDescent="0.2">
      <c r="A70" s="10"/>
      <c r="B70" s="10"/>
      <c r="C70" s="10"/>
      <c r="D70" s="10"/>
      <c r="E70" s="10"/>
      <c r="F70" s="10"/>
      <c r="G70" s="10"/>
      <c r="H70" s="10"/>
      <c r="I70" s="10"/>
      <c r="J70" s="10"/>
      <c r="K70" s="10"/>
      <c r="L70" s="10"/>
      <c r="M70" s="10"/>
      <c r="N70" s="10"/>
    </row>
    <row r="71" spans="1:14" x14ac:dyDescent="0.2">
      <c r="A71" s="10"/>
      <c r="B71" s="10"/>
      <c r="C71" s="10"/>
      <c r="D71" s="10"/>
      <c r="E71" s="10"/>
      <c r="F71" s="10"/>
      <c r="G71" s="10"/>
      <c r="H71" s="10"/>
      <c r="I71" s="10"/>
      <c r="J71" s="10"/>
      <c r="K71" s="10"/>
      <c r="L71" s="10"/>
      <c r="M71" s="10"/>
      <c r="N71" s="10"/>
    </row>
    <row r="72" spans="1:14" x14ac:dyDescent="0.2">
      <c r="A72" s="10"/>
      <c r="B72" s="10"/>
      <c r="C72" s="10"/>
      <c r="D72" s="10"/>
      <c r="E72" s="10"/>
      <c r="F72" s="10"/>
      <c r="G72" s="10"/>
      <c r="H72" s="10"/>
      <c r="I72" s="10"/>
      <c r="J72" s="10"/>
      <c r="K72" s="10"/>
      <c r="L72" s="10"/>
      <c r="M72" s="10"/>
      <c r="N72" s="10"/>
    </row>
    <row r="73" spans="1:14" x14ac:dyDescent="0.2">
      <c r="A73" s="10"/>
      <c r="B73" s="10"/>
      <c r="C73" s="10"/>
      <c r="D73" s="10"/>
      <c r="E73" s="10"/>
      <c r="F73" s="10"/>
      <c r="G73" s="10"/>
      <c r="H73" s="10"/>
      <c r="I73" s="10"/>
      <c r="J73" s="10"/>
      <c r="K73" s="10"/>
      <c r="L73" s="10"/>
      <c r="M73" s="10"/>
      <c r="N73" s="10"/>
    </row>
    <row r="74" spans="1:14" x14ac:dyDescent="0.2">
      <c r="A74" s="10"/>
      <c r="B74" s="10"/>
      <c r="C74" s="10"/>
      <c r="D74" s="10"/>
      <c r="E74" s="10"/>
      <c r="F74" s="10"/>
      <c r="G74" s="10"/>
      <c r="H74" s="10"/>
      <c r="I74" s="10"/>
      <c r="J74" s="10"/>
      <c r="K74" s="10"/>
      <c r="L74" s="10"/>
      <c r="M74" s="10"/>
      <c r="N74" s="10"/>
    </row>
    <row r="75" spans="1:14" x14ac:dyDescent="0.2">
      <c r="A75" s="10"/>
      <c r="B75" s="10"/>
      <c r="C75" s="10"/>
      <c r="D75" s="10"/>
      <c r="E75" s="10"/>
      <c r="F75" s="10"/>
      <c r="G75" s="10"/>
      <c r="H75" s="10"/>
      <c r="I75" s="10"/>
      <c r="J75" s="10"/>
      <c r="K75" s="10"/>
      <c r="L75" s="10"/>
      <c r="M75" s="10"/>
      <c r="N75" s="10"/>
    </row>
    <row r="76" spans="1:14" x14ac:dyDescent="0.2">
      <c r="A76" s="10"/>
      <c r="B76" s="10"/>
      <c r="C76" s="10"/>
      <c r="D76" s="10"/>
      <c r="E76" s="10"/>
      <c r="F76" s="10"/>
      <c r="G76" s="10"/>
      <c r="H76" s="10"/>
      <c r="I76" s="10"/>
      <c r="J76" s="10"/>
      <c r="K76" s="10"/>
      <c r="L76" s="10"/>
      <c r="M76" s="10"/>
      <c r="N76" s="10"/>
    </row>
    <row r="77" spans="1:14" x14ac:dyDescent="0.2">
      <c r="A77" s="10"/>
      <c r="B77" s="10"/>
      <c r="C77" s="10"/>
      <c r="D77" s="10"/>
      <c r="E77" s="10"/>
      <c r="F77" s="10"/>
      <c r="G77" s="10"/>
      <c r="H77" s="10"/>
      <c r="I77" s="10"/>
      <c r="J77" s="10"/>
      <c r="K77" s="10"/>
      <c r="L77" s="10"/>
      <c r="M77" s="10"/>
      <c r="N77" s="10"/>
    </row>
    <row r="78" spans="1:14" x14ac:dyDescent="0.2">
      <c r="A78" s="10"/>
      <c r="B78" s="10"/>
      <c r="C78" s="10"/>
      <c r="D78" s="10"/>
      <c r="E78" s="10"/>
      <c r="F78" s="10"/>
      <c r="G78" s="10"/>
      <c r="H78" s="10"/>
      <c r="I78" s="10"/>
      <c r="J78" s="10"/>
      <c r="K78" s="10"/>
      <c r="L78" s="10"/>
      <c r="M78" s="10"/>
      <c r="N78" s="10"/>
    </row>
    <row r="79" spans="1:14" x14ac:dyDescent="0.2">
      <c r="A79" s="10"/>
      <c r="B79" s="10"/>
      <c r="C79" s="10"/>
      <c r="D79" s="10"/>
      <c r="E79" s="10"/>
      <c r="F79" s="10"/>
      <c r="G79" s="10"/>
      <c r="H79" s="10"/>
      <c r="I79" s="10"/>
      <c r="J79" s="10"/>
      <c r="K79" s="10"/>
      <c r="L79" s="10"/>
      <c r="M79" s="10"/>
      <c r="N79" s="10"/>
    </row>
    <row r="80" spans="1:14" x14ac:dyDescent="0.2">
      <c r="A80" s="10"/>
      <c r="B80" s="10"/>
      <c r="C80" s="10"/>
      <c r="D80" s="10"/>
      <c r="E80" s="10"/>
      <c r="F80" s="10"/>
      <c r="G80" s="10"/>
      <c r="H80" s="10"/>
      <c r="I80" s="10"/>
      <c r="J80" s="10"/>
      <c r="K80" s="10"/>
      <c r="L80" s="10"/>
      <c r="M80" s="10"/>
      <c r="N80" s="10"/>
    </row>
    <row r="81" spans="1:14" x14ac:dyDescent="0.2">
      <c r="A81" s="10"/>
      <c r="B81" s="10"/>
      <c r="C81" s="10"/>
      <c r="D81" s="10"/>
      <c r="E81" s="10"/>
      <c r="F81" s="10"/>
      <c r="G81" s="10"/>
      <c r="H81" s="10"/>
      <c r="I81" s="10"/>
      <c r="J81" s="10"/>
      <c r="K81" s="10"/>
      <c r="L81" s="10"/>
      <c r="M81" s="10"/>
      <c r="N81" s="10"/>
    </row>
    <row r="82" spans="1:14" x14ac:dyDescent="0.2">
      <c r="A82" s="10"/>
      <c r="B82" s="10"/>
      <c r="C82" s="10"/>
      <c r="D82" s="10"/>
      <c r="E82" s="10"/>
      <c r="F82" s="10"/>
      <c r="G82" s="10"/>
      <c r="H82" s="10"/>
      <c r="I82" s="10"/>
      <c r="J82" s="10"/>
      <c r="K82" s="10"/>
      <c r="L82" s="10"/>
      <c r="M82" s="10"/>
      <c r="N82" s="10"/>
    </row>
    <row r="83" spans="1:14" x14ac:dyDescent="0.2">
      <c r="A83" s="10"/>
      <c r="B83" s="10"/>
      <c r="C83" s="10"/>
      <c r="D83" s="10"/>
      <c r="E83" s="10"/>
      <c r="F83" s="10"/>
      <c r="G83" s="10"/>
      <c r="H83" s="10"/>
      <c r="I83" s="10"/>
      <c r="J83" s="10"/>
      <c r="K83" s="10"/>
      <c r="L83" s="10"/>
      <c r="M83" s="10"/>
      <c r="N83" s="10"/>
    </row>
    <row r="84" spans="1:14" x14ac:dyDescent="0.2">
      <c r="A84" s="10"/>
      <c r="B84" s="10"/>
      <c r="C84" s="10"/>
      <c r="D84" s="10"/>
      <c r="E84" s="10"/>
      <c r="F84" s="10"/>
      <c r="G84" s="10"/>
      <c r="H84" s="10"/>
      <c r="I84" s="10"/>
      <c r="J84" s="10"/>
      <c r="K84" s="10"/>
      <c r="L84" s="10"/>
      <c r="M84" s="10"/>
      <c r="N84" s="10"/>
    </row>
    <row r="85" spans="1:14" x14ac:dyDescent="0.2">
      <c r="A85" s="10"/>
      <c r="B85" s="10"/>
      <c r="C85" s="10"/>
      <c r="D85" s="10"/>
      <c r="E85" s="10"/>
      <c r="F85" s="10"/>
      <c r="G85" s="10"/>
      <c r="H85" s="10"/>
      <c r="I85" s="10"/>
      <c r="J85" s="10"/>
      <c r="K85" s="10"/>
      <c r="L85" s="10"/>
      <c r="M85" s="10"/>
      <c r="N85" s="10"/>
    </row>
    <row r="86" spans="1:14" x14ac:dyDescent="0.2">
      <c r="A86" s="10"/>
      <c r="B86" s="10"/>
      <c r="C86" s="10"/>
      <c r="D86" s="10"/>
      <c r="E86" s="10"/>
      <c r="F86" s="10"/>
      <c r="G86" s="10"/>
      <c r="H86" s="10"/>
      <c r="I86" s="10"/>
      <c r="J86" s="10"/>
      <c r="K86" s="10"/>
      <c r="L86" s="10"/>
      <c r="M86" s="10"/>
      <c r="N86" s="10"/>
    </row>
    <row r="87" spans="1:14" x14ac:dyDescent="0.2">
      <c r="A87" s="10"/>
      <c r="B87" s="10"/>
      <c r="C87" s="10"/>
      <c r="D87" s="10"/>
      <c r="E87" s="10"/>
      <c r="F87" s="10"/>
      <c r="G87" s="10"/>
      <c r="H87" s="10"/>
      <c r="I87" s="10"/>
      <c r="J87" s="10"/>
      <c r="K87" s="10"/>
      <c r="L87" s="10"/>
      <c r="M87" s="10"/>
      <c r="N87" s="10"/>
    </row>
    <row r="88" spans="1:14" x14ac:dyDescent="0.2">
      <c r="A88" s="10"/>
      <c r="B88" s="10"/>
      <c r="C88" s="10"/>
      <c r="D88" s="10"/>
      <c r="E88" s="10"/>
      <c r="F88" s="10"/>
      <c r="G88" s="10"/>
      <c r="H88" s="10"/>
      <c r="I88" s="10"/>
      <c r="J88" s="10"/>
      <c r="K88" s="10"/>
      <c r="L88" s="10"/>
      <c r="M88" s="10"/>
      <c r="N88" s="10"/>
    </row>
    <row r="89" spans="1:14" x14ac:dyDescent="0.2">
      <c r="A89" s="10"/>
      <c r="B89" s="10"/>
      <c r="C89" s="10"/>
      <c r="D89" s="10"/>
      <c r="E89" s="10"/>
      <c r="F89" s="10"/>
      <c r="G89" s="10"/>
      <c r="H89" s="10"/>
      <c r="I89" s="10"/>
      <c r="J89" s="10"/>
      <c r="K89" s="10"/>
      <c r="L89" s="10"/>
      <c r="M89" s="10"/>
      <c r="N89" s="10"/>
    </row>
    <row r="90" spans="1:14" x14ac:dyDescent="0.2">
      <c r="A90" s="10"/>
      <c r="B90" s="10"/>
      <c r="C90" s="10"/>
      <c r="D90" s="10"/>
      <c r="E90" s="10"/>
      <c r="F90" s="10"/>
      <c r="G90" s="10"/>
      <c r="H90" s="10"/>
      <c r="I90" s="10"/>
      <c r="J90" s="10"/>
      <c r="K90" s="10"/>
      <c r="L90" s="10"/>
      <c r="M90" s="10"/>
      <c r="N90" s="10"/>
    </row>
    <row r="91" spans="1:14" x14ac:dyDescent="0.2">
      <c r="A91" s="10"/>
      <c r="B91" s="10"/>
      <c r="C91" s="10"/>
      <c r="D91" s="10"/>
      <c r="E91" s="10"/>
      <c r="F91" s="10"/>
      <c r="G91" s="10"/>
      <c r="H91" s="10"/>
      <c r="I91" s="10"/>
      <c r="J91" s="10"/>
      <c r="K91" s="10"/>
      <c r="L91" s="10"/>
      <c r="M91" s="10"/>
      <c r="N91" s="10"/>
    </row>
    <row r="92" spans="1:14" x14ac:dyDescent="0.2">
      <c r="A92" s="10"/>
      <c r="B92" s="10"/>
      <c r="C92" s="10"/>
      <c r="D92" s="10"/>
      <c r="E92" s="10"/>
      <c r="F92" s="10"/>
      <c r="G92" s="10"/>
      <c r="H92" s="10"/>
      <c r="I92" s="10"/>
      <c r="J92" s="10"/>
      <c r="K92" s="10"/>
      <c r="L92" s="10"/>
      <c r="M92" s="10"/>
      <c r="N92" s="10"/>
    </row>
    <row r="93" spans="1:14" x14ac:dyDescent="0.2">
      <c r="A93" s="10"/>
      <c r="B93" s="10"/>
      <c r="C93" s="10"/>
      <c r="D93" s="10"/>
      <c r="E93" s="10"/>
      <c r="F93" s="10"/>
      <c r="G93" s="10"/>
      <c r="H93" s="10"/>
      <c r="I93" s="10"/>
      <c r="J93" s="10"/>
      <c r="K93" s="10"/>
      <c r="L93" s="10"/>
      <c r="M93" s="10"/>
      <c r="N93" s="10"/>
    </row>
    <row r="94" spans="1:14" x14ac:dyDescent="0.2">
      <c r="A94" s="10"/>
      <c r="B94" s="10"/>
      <c r="C94" s="10"/>
      <c r="D94" s="10"/>
      <c r="E94" s="10"/>
      <c r="F94" s="10"/>
      <c r="G94" s="10"/>
      <c r="H94" s="10"/>
      <c r="I94" s="10"/>
      <c r="J94" s="10"/>
      <c r="K94" s="10"/>
      <c r="L94" s="10"/>
      <c r="M94" s="10"/>
      <c r="N94" s="10"/>
    </row>
    <row r="95" spans="1:14" x14ac:dyDescent="0.2">
      <c r="A95" s="10"/>
      <c r="B95" s="10"/>
      <c r="C95" s="10"/>
      <c r="D95" s="10"/>
      <c r="E95" s="10"/>
      <c r="F95" s="10"/>
      <c r="G95" s="10"/>
      <c r="H95" s="10"/>
      <c r="I95" s="10"/>
      <c r="J95" s="10"/>
      <c r="K95" s="10"/>
      <c r="L95" s="10"/>
      <c r="M95" s="10"/>
      <c r="N95" s="10"/>
    </row>
    <row r="96" spans="1:14" x14ac:dyDescent="0.2">
      <c r="A96" s="10"/>
      <c r="B96" s="10"/>
      <c r="C96" s="10"/>
      <c r="D96" s="10"/>
      <c r="E96" s="10"/>
      <c r="F96" s="10"/>
      <c r="G96" s="10"/>
      <c r="H96" s="10"/>
      <c r="I96" s="10"/>
      <c r="J96" s="10"/>
      <c r="K96" s="10"/>
      <c r="L96" s="10"/>
      <c r="M96" s="10"/>
      <c r="N96" s="10"/>
    </row>
    <row r="97" spans="1:14" x14ac:dyDescent="0.2">
      <c r="A97" s="10"/>
      <c r="B97" s="10"/>
      <c r="C97" s="10"/>
      <c r="D97" s="10"/>
      <c r="E97" s="10"/>
      <c r="F97" s="10"/>
      <c r="G97" s="10"/>
      <c r="H97" s="10"/>
      <c r="I97" s="10"/>
      <c r="J97" s="10"/>
      <c r="K97" s="10"/>
      <c r="L97" s="10"/>
      <c r="M97" s="10"/>
      <c r="N97" s="10"/>
    </row>
    <row r="98" spans="1:14" x14ac:dyDescent="0.2">
      <c r="A98" s="10"/>
      <c r="B98" s="10"/>
      <c r="C98" s="10"/>
      <c r="D98" s="10"/>
      <c r="E98" s="10"/>
      <c r="F98" s="10"/>
      <c r="G98" s="10"/>
      <c r="H98" s="10"/>
      <c r="I98" s="10"/>
      <c r="J98" s="10"/>
      <c r="K98" s="10"/>
      <c r="L98" s="10"/>
      <c r="M98" s="10"/>
      <c r="N98" s="10"/>
    </row>
    <row r="99" spans="1:14" x14ac:dyDescent="0.2">
      <c r="A99" s="10"/>
      <c r="B99" s="10"/>
      <c r="C99" s="10"/>
      <c r="D99" s="10"/>
      <c r="E99" s="10"/>
      <c r="F99" s="10"/>
      <c r="G99" s="10"/>
      <c r="H99" s="10"/>
      <c r="I99" s="10"/>
      <c r="J99" s="10"/>
      <c r="K99" s="10"/>
      <c r="L99" s="10"/>
      <c r="M99" s="10"/>
      <c r="N99" s="10"/>
    </row>
    <row r="100" spans="1:14" x14ac:dyDescent="0.2">
      <c r="A100" s="10"/>
      <c r="B100" s="10"/>
      <c r="C100" s="10"/>
      <c r="D100" s="10"/>
      <c r="E100" s="10"/>
      <c r="F100" s="10"/>
      <c r="G100" s="10"/>
      <c r="H100" s="10"/>
      <c r="I100" s="10"/>
      <c r="J100" s="10"/>
      <c r="K100" s="10"/>
      <c r="L100" s="10"/>
      <c r="M100" s="10"/>
      <c r="N100" s="10"/>
    </row>
  </sheetData>
  <dataValidations count="2">
    <dataValidation type="list" allowBlank="1" showInputMessage="1" showErrorMessage="1" sqref="C16:C35" xr:uid="{50803617-CC40-D341-988A-4F1397D98CB9}">
      <formula1>"Team,Department,Company"</formula1>
    </dataValidation>
    <dataValidation type="list" allowBlank="1" showInputMessage="1" showErrorMessage="1" sqref="D16:D35" xr:uid="{027C0E27-4489-DF4D-8781-82E5E7FAE77C}">
      <formula1>"Monthly,Annual"</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40733-8433-6147-BB87-C994759447EF}">
  <sheetPr>
    <tabColor rgb="FF4B0082"/>
  </sheetPr>
  <dimension ref="A1:N100"/>
  <sheetViews>
    <sheetView showGridLines="0" workbookViewId="0"/>
  </sheetViews>
  <sheetFormatPr baseColWidth="10" defaultRowHeight="16" x14ac:dyDescent="0.2"/>
  <cols>
    <col min="1" max="1" width="7" customWidth="1"/>
    <col min="2" max="2" width="24.1640625" customWidth="1"/>
    <col min="3" max="4" width="15.83203125" customWidth="1"/>
    <col min="5" max="6" width="18.33203125" customWidth="1"/>
    <col min="7" max="8" width="20" customWidth="1"/>
    <col min="9" max="9" width="18.33203125" customWidth="1"/>
    <col min="10" max="10" width="26.6640625" customWidth="1"/>
    <col min="11" max="11" width="21.6640625" customWidth="1"/>
  </cols>
  <sheetData>
    <row r="1" spans="1:14" ht="18" x14ac:dyDescent="0.2">
      <c r="A1" s="58"/>
      <c r="B1" s="56" t="s">
        <v>111</v>
      </c>
      <c r="C1" s="58"/>
      <c r="D1" s="58"/>
      <c r="E1" s="58"/>
      <c r="F1" s="58"/>
      <c r="G1" s="58"/>
      <c r="H1" s="58"/>
      <c r="I1" s="58"/>
      <c r="J1" s="58"/>
      <c r="K1" s="58"/>
      <c r="L1" s="10"/>
      <c r="M1" s="10"/>
      <c r="N1" s="10"/>
    </row>
    <row r="2" spans="1:14" x14ac:dyDescent="0.2">
      <c r="A2" s="58"/>
      <c r="B2" s="57" t="s">
        <v>112</v>
      </c>
      <c r="C2" s="58"/>
      <c r="D2" s="58"/>
      <c r="E2" s="58"/>
      <c r="F2" s="58"/>
      <c r="G2" s="58"/>
      <c r="H2" s="58"/>
      <c r="I2" s="58"/>
      <c r="J2" s="58"/>
      <c r="K2" s="58"/>
      <c r="L2" s="10"/>
      <c r="M2" s="10"/>
      <c r="N2" s="10"/>
    </row>
    <row r="3" spans="1:14" x14ac:dyDescent="0.2">
      <c r="A3" s="58"/>
      <c r="B3" s="58"/>
      <c r="C3" s="58"/>
      <c r="D3" s="58"/>
      <c r="E3" s="58"/>
      <c r="F3" s="58"/>
      <c r="G3" s="58"/>
      <c r="H3" s="58"/>
      <c r="I3" s="58"/>
      <c r="J3" s="58"/>
      <c r="K3" s="58"/>
      <c r="L3" s="10"/>
      <c r="M3" s="10"/>
      <c r="N3" s="10"/>
    </row>
    <row r="4" spans="1:14" x14ac:dyDescent="0.2">
      <c r="A4" s="10"/>
      <c r="B4" s="10"/>
      <c r="C4" s="10"/>
      <c r="D4" s="10"/>
      <c r="E4" s="10"/>
      <c r="F4" s="10"/>
      <c r="G4" s="10"/>
      <c r="H4" s="10"/>
      <c r="I4" s="10"/>
      <c r="J4" s="10"/>
      <c r="K4" s="10"/>
      <c r="L4" s="10"/>
      <c r="M4" s="10"/>
      <c r="N4" s="10"/>
    </row>
    <row r="5" spans="1:14" x14ac:dyDescent="0.2">
      <c r="A5" s="10"/>
      <c r="B5" s="59" t="s">
        <v>62</v>
      </c>
      <c r="C5" s="23"/>
      <c r="D5" s="23"/>
      <c r="E5" s="23"/>
      <c r="F5" s="23"/>
      <c r="G5" s="23"/>
      <c r="H5" s="23"/>
      <c r="I5" s="23"/>
      <c r="J5" s="23"/>
      <c r="K5" s="23"/>
      <c r="L5" s="10"/>
      <c r="M5" s="10"/>
      <c r="N5" s="10"/>
    </row>
    <row r="6" spans="1:14" x14ac:dyDescent="0.2">
      <c r="A6" s="10"/>
      <c r="B6" s="23" t="s">
        <v>113</v>
      </c>
      <c r="C6" s="23"/>
      <c r="D6" s="23"/>
      <c r="E6" s="23"/>
      <c r="F6" s="23"/>
      <c r="G6" s="23"/>
      <c r="H6" s="23"/>
      <c r="I6" s="23"/>
      <c r="J6" s="23"/>
      <c r="K6" s="23"/>
      <c r="L6" s="10"/>
      <c r="M6" s="10"/>
      <c r="N6" s="10"/>
    </row>
    <row r="7" spans="1:14" x14ac:dyDescent="0.2">
      <c r="A7" s="10"/>
      <c r="B7" s="23" t="s">
        <v>114</v>
      </c>
      <c r="C7" s="23"/>
      <c r="D7" s="23"/>
      <c r="E7" s="23"/>
      <c r="F7" s="23"/>
      <c r="G7" s="23"/>
      <c r="H7" s="23"/>
      <c r="I7" s="23"/>
      <c r="J7" s="23"/>
      <c r="K7" s="23"/>
      <c r="L7" s="10"/>
      <c r="M7" s="10"/>
      <c r="N7" s="10"/>
    </row>
    <row r="8" spans="1:14" x14ac:dyDescent="0.2">
      <c r="A8" s="10"/>
      <c r="B8" s="23" t="s">
        <v>115</v>
      </c>
      <c r="C8" s="23"/>
      <c r="D8" s="23"/>
      <c r="E8" s="23"/>
      <c r="F8" s="23"/>
      <c r="G8" s="23"/>
      <c r="H8" s="23"/>
      <c r="I8" s="23"/>
      <c r="J8" s="23"/>
      <c r="K8" s="23"/>
      <c r="L8" s="10"/>
      <c r="M8" s="10"/>
      <c r="N8" s="10"/>
    </row>
    <row r="9" spans="1:14" x14ac:dyDescent="0.2">
      <c r="A9" s="10"/>
      <c r="B9" s="23" t="s">
        <v>104</v>
      </c>
      <c r="C9" s="23"/>
      <c r="D9" s="23"/>
      <c r="E9" s="23"/>
      <c r="F9" s="23"/>
      <c r="G9" s="23"/>
      <c r="H9" s="23"/>
      <c r="I9" s="23"/>
      <c r="J9" s="23"/>
      <c r="K9" s="23"/>
      <c r="L9" s="10"/>
      <c r="M9" s="10"/>
      <c r="N9" s="10"/>
    </row>
    <row r="10" spans="1:14" x14ac:dyDescent="0.2">
      <c r="A10" s="10"/>
      <c r="B10" s="10"/>
      <c r="C10" s="10"/>
      <c r="D10" s="10"/>
      <c r="E10" s="10"/>
      <c r="F10" s="10"/>
      <c r="G10" s="10"/>
      <c r="H10" s="10"/>
      <c r="I10" s="10"/>
      <c r="J10" s="10"/>
      <c r="K10" s="10"/>
      <c r="L10" s="10"/>
      <c r="M10" s="10"/>
      <c r="N10" s="10"/>
    </row>
    <row r="11" spans="1:14" x14ac:dyDescent="0.2">
      <c r="A11" s="10"/>
      <c r="B11" s="6" t="s">
        <v>67</v>
      </c>
      <c r="C11" s="35"/>
      <c r="D11" s="35"/>
      <c r="E11" s="35"/>
      <c r="F11" s="35"/>
      <c r="G11" s="35"/>
      <c r="H11" s="35"/>
      <c r="I11" s="35"/>
      <c r="J11" s="35"/>
      <c r="K11" s="35"/>
      <c r="L11" s="10"/>
      <c r="M11" s="10"/>
      <c r="N11" s="10"/>
    </row>
    <row r="12" spans="1:14" ht="29" x14ac:dyDescent="0.2">
      <c r="A12" s="36" t="s">
        <v>68</v>
      </c>
      <c r="B12" s="36" t="s">
        <v>69</v>
      </c>
      <c r="C12" s="36" t="s">
        <v>12</v>
      </c>
      <c r="D12" s="36" t="s">
        <v>25</v>
      </c>
      <c r="E12" s="36" t="s">
        <v>70</v>
      </c>
      <c r="F12" s="36" t="s">
        <v>71</v>
      </c>
      <c r="G12" s="36" t="s">
        <v>72</v>
      </c>
      <c r="H12" s="36" t="s">
        <v>105</v>
      </c>
      <c r="I12" s="36" t="s">
        <v>74</v>
      </c>
      <c r="J12" s="36" t="s">
        <v>75</v>
      </c>
      <c r="K12" s="36" t="s">
        <v>116</v>
      </c>
      <c r="L12" s="10"/>
      <c r="M12" s="10"/>
      <c r="N12" s="10"/>
    </row>
    <row r="13" spans="1:14" x14ac:dyDescent="0.2">
      <c r="A13" s="37">
        <v>1</v>
      </c>
      <c r="B13" s="4" t="s">
        <v>76</v>
      </c>
      <c r="C13" s="37" t="s">
        <v>17</v>
      </c>
      <c r="D13" s="37" t="s">
        <v>46</v>
      </c>
      <c r="E13" s="60">
        <v>199</v>
      </c>
      <c r="F13" s="37" t="s">
        <v>77</v>
      </c>
      <c r="G13" s="60">
        <v>199</v>
      </c>
      <c r="H13" s="60">
        <v>59.7</v>
      </c>
      <c r="I13" s="37" t="s">
        <v>117</v>
      </c>
      <c r="J13" s="4" t="s">
        <v>78</v>
      </c>
      <c r="K13" s="60">
        <v>358.2</v>
      </c>
      <c r="L13" s="10"/>
      <c r="M13" s="10"/>
      <c r="N13" s="10"/>
    </row>
    <row r="14" spans="1:14" x14ac:dyDescent="0.2">
      <c r="A14" s="37">
        <v>2</v>
      </c>
      <c r="B14" s="4" t="s">
        <v>76</v>
      </c>
      <c r="C14" s="37" t="s">
        <v>18</v>
      </c>
      <c r="D14" s="37" t="s">
        <v>56</v>
      </c>
      <c r="E14" s="60">
        <v>589</v>
      </c>
      <c r="F14" s="60">
        <v>7068</v>
      </c>
      <c r="G14" s="60">
        <v>589</v>
      </c>
      <c r="H14" s="60">
        <v>176.7</v>
      </c>
      <c r="I14" s="37" t="s">
        <v>117</v>
      </c>
      <c r="J14" s="4" t="s">
        <v>78</v>
      </c>
      <c r="K14" s="60">
        <v>1060.2</v>
      </c>
      <c r="L14" s="10"/>
      <c r="M14" s="10"/>
      <c r="N14" s="10"/>
    </row>
    <row r="15" spans="1:14" x14ac:dyDescent="0.2">
      <c r="A15" s="37">
        <v>3</v>
      </c>
      <c r="B15" s="4" t="s">
        <v>76</v>
      </c>
      <c r="C15" s="37" t="s">
        <v>19</v>
      </c>
      <c r="D15" s="37" t="s">
        <v>46</v>
      </c>
      <c r="E15" s="60">
        <v>1599</v>
      </c>
      <c r="F15" s="37" t="s">
        <v>77</v>
      </c>
      <c r="G15" s="60">
        <v>1599</v>
      </c>
      <c r="H15" s="60">
        <v>479.7</v>
      </c>
      <c r="I15" s="37" t="s">
        <v>117</v>
      </c>
      <c r="J15" s="4" t="s">
        <v>78</v>
      </c>
      <c r="K15" s="60">
        <v>2878.2</v>
      </c>
      <c r="L15" s="10"/>
      <c r="M15" s="10"/>
      <c r="N15" s="10"/>
    </row>
    <row r="16" spans="1:14" x14ac:dyDescent="0.2">
      <c r="A16" s="54" t="str">
        <f>IF(B16&lt;&gt;"",ROW()-15,"")</f>
        <v/>
      </c>
      <c r="B16" s="13"/>
      <c r="C16" s="14"/>
      <c r="D16" s="14"/>
      <c r="E16" s="43" t="str">
        <f>IF(B16="","",IF(C16="Team",IF(D16="Monthly",'📋 PRICING REFERENCE'!C6,'📋 PRICING REFERENCE'!D6),IF(C16="Department",IF(D16="Monthly",'📋 PRICING REFERENCE'!C7,'📋 PRICING REFERENCE'!D7),IF(C16="Company",IF(D16="Monthly",'📋 PRICING REFERENCE'!C8,'📋 PRICING REFERENCE'!D8),""))))</f>
        <v/>
      </c>
      <c r="F16" s="43" t="str">
        <f>IF(B16="","",IF(D16="Annual",IF(C16="Team",'📋 PRICING REFERENCE'!E6,IF(C16="Department",'📋 PRICING REFERENCE'!E7,IF(C16="Company",'📋 PRICING REFERENCE'!E8,""))),"-"))</f>
        <v/>
      </c>
      <c r="G16" s="55" t="str">
        <f>IF(B16="","",IF(D16="Monthly",E16,IF(D16="Annual",IF(ISNUMBER(F16),F16/12,""),"")))</f>
        <v/>
      </c>
      <c r="H16" s="55" t="str">
        <f>IF(B16="","",G16*0.3)</f>
        <v/>
      </c>
      <c r="I16" s="54" t="str">
        <f>IF(B16="","","Months 1-6")</f>
        <v/>
      </c>
      <c r="J16" s="13"/>
      <c r="K16" s="55" t="str">
        <f>IF(B16="","",H16*6)</f>
        <v/>
      </c>
      <c r="L16" s="10"/>
      <c r="M16" s="10"/>
      <c r="N16" s="10"/>
    </row>
    <row r="17" spans="1:14" x14ac:dyDescent="0.2">
      <c r="A17" s="16" t="str">
        <f t="shared" ref="A17:A35" si="0">IF(B17&lt;&gt;"",ROW()-15,"")</f>
        <v/>
      </c>
      <c r="B17" s="13"/>
      <c r="C17" s="14"/>
      <c r="D17" s="14"/>
      <c r="E17" s="40" t="str">
        <f>IF(B17="","",IF(C17="Team",IF(D17="Monthly",'📋 PRICING REFERENCE'!C7,'📋 PRICING REFERENCE'!D7),IF(C17="Department",IF(D17="Monthly",'📋 PRICING REFERENCE'!C8,'📋 PRICING REFERENCE'!D8),IF(C17="Company",IF(D17="Monthly",'📋 PRICING REFERENCE'!C9,'📋 PRICING REFERENCE'!D9),""))))</f>
        <v/>
      </c>
      <c r="F17" s="40" t="str">
        <f>IF(B17="","",IF(D17="Annual",IF(C17="Team",'📋 PRICING REFERENCE'!E7,IF(C17="Department",'📋 PRICING REFERENCE'!E8,IF(C17="Company",'📋 PRICING REFERENCE'!E9,""))),"-"))</f>
        <v/>
      </c>
      <c r="G17" s="48" t="str">
        <f t="shared" ref="G17:G35" si="1">IF(B17="","",IF(D17="Monthly",E17,IF(D17="Annual",IF(ISNUMBER(F17),F17/12,""),"")))</f>
        <v/>
      </c>
      <c r="H17" s="48" t="str">
        <f t="shared" ref="H17:H35" si="2">IF(B17="","",G17*0.3)</f>
        <v/>
      </c>
      <c r="I17" s="16" t="str">
        <f t="shared" ref="I17:I35" si="3">IF(B17="","","Months 1-6")</f>
        <v/>
      </c>
      <c r="J17" s="13"/>
      <c r="K17" s="48" t="str">
        <f t="shared" ref="K17:K35" si="4">IF(B17="","",H17*6)</f>
        <v/>
      </c>
      <c r="L17" s="10"/>
      <c r="M17" s="10"/>
      <c r="N17" s="10"/>
    </row>
    <row r="18" spans="1:14" x14ac:dyDescent="0.2">
      <c r="A18" s="54" t="str">
        <f t="shared" si="0"/>
        <v/>
      </c>
      <c r="B18" s="13"/>
      <c r="C18" s="14"/>
      <c r="D18" s="14"/>
      <c r="E18" s="43" t="str">
        <f>IF(B18="","",IF(C18="Team",IF(D18="Monthly",'📋 PRICING REFERENCE'!C8,'📋 PRICING REFERENCE'!D8),IF(C18="Department",IF(D18="Monthly",'📋 PRICING REFERENCE'!C9,'📋 PRICING REFERENCE'!D9),IF(C18="Company",IF(D18="Monthly",'📋 PRICING REFERENCE'!C10,'📋 PRICING REFERENCE'!D10),""))))</f>
        <v/>
      </c>
      <c r="F18" s="43" t="str">
        <f>IF(B18="","",IF(D18="Annual",IF(C18="Team",'📋 PRICING REFERENCE'!E8,IF(C18="Department",'📋 PRICING REFERENCE'!E9,IF(C18="Company",'📋 PRICING REFERENCE'!E10,""))),"-"))</f>
        <v/>
      </c>
      <c r="G18" s="55" t="str">
        <f t="shared" si="1"/>
        <v/>
      </c>
      <c r="H18" s="55" t="str">
        <f t="shared" si="2"/>
        <v/>
      </c>
      <c r="I18" s="54" t="str">
        <f t="shared" si="3"/>
        <v/>
      </c>
      <c r="J18" s="13"/>
      <c r="K18" s="55" t="str">
        <f t="shared" si="4"/>
        <v/>
      </c>
      <c r="L18" s="10"/>
      <c r="M18" s="10"/>
      <c r="N18" s="10"/>
    </row>
    <row r="19" spans="1:14" x14ac:dyDescent="0.2">
      <c r="A19" s="16" t="str">
        <f t="shared" si="0"/>
        <v/>
      </c>
      <c r="B19" s="13"/>
      <c r="C19" s="14"/>
      <c r="D19" s="14"/>
      <c r="E19" s="40" t="str">
        <f>IF(B19="","",IF(C19="Team",IF(D19="Monthly",'📋 PRICING REFERENCE'!C9,'📋 PRICING REFERENCE'!D9),IF(C19="Department",IF(D19="Monthly",'📋 PRICING REFERENCE'!C10,'📋 PRICING REFERENCE'!D10),IF(C19="Company",IF(D19="Monthly",'📋 PRICING REFERENCE'!C11,'📋 PRICING REFERENCE'!D11),""))))</f>
        <v/>
      </c>
      <c r="F19" s="40" t="str">
        <f>IF(B19="","",IF(D19="Annual",IF(C19="Team",'📋 PRICING REFERENCE'!E9,IF(C19="Department",'📋 PRICING REFERENCE'!E10,IF(C19="Company",'📋 PRICING REFERENCE'!E11,""))),"-"))</f>
        <v/>
      </c>
      <c r="G19" s="48" t="str">
        <f t="shared" si="1"/>
        <v/>
      </c>
      <c r="H19" s="48" t="str">
        <f t="shared" si="2"/>
        <v/>
      </c>
      <c r="I19" s="16" t="str">
        <f t="shared" si="3"/>
        <v/>
      </c>
      <c r="J19" s="13"/>
      <c r="K19" s="48" t="str">
        <f t="shared" si="4"/>
        <v/>
      </c>
      <c r="L19" s="10"/>
      <c r="M19" s="10"/>
      <c r="N19" s="10"/>
    </row>
    <row r="20" spans="1:14" x14ac:dyDescent="0.2">
      <c r="A20" s="54" t="str">
        <f t="shared" si="0"/>
        <v/>
      </c>
      <c r="B20" s="13"/>
      <c r="C20" s="14"/>
      <c r="D20" s="14"/>
      <c r="E20" s="43" t="str">
        <f>IF(B20="","",IF(C20="Team",IF(D20="Monthly",'📋 PRICING REFERENCE'!C10,'📋 PRICING REFERENCE'!D10),IF(C20="Department",IF(D20="Monthly",'📋 PRICING REFERENCE'!C11,'📋 PRICING REFERENCE'!D11),IF(C20="Company",IF(D20="Monthly",'📋 PRICING REFERENCE'!C12,'📋 PRICING REFERENCE'!D12),""))))</f>
        <v/>
      </c>
      <c r="F20" s="43" t="str">
        <f>IF(B20="","",IF(D20="Annual",IF(C20="Team",'📋 PRICING REFERENCE'!E10,IF(C20="Department",'📋 PRICING REFERENCE'!E11,IF(C20="Company",'📋 PRICING REFERENCE'!E12,""))),"-"))</f>
        <v/>
      </c>
      <c r="G20" s="55" t="str">
        <f t="shared" si="1"/>
        <v/>
      </c>
      <c r="H20" s="55" t="str">
        <f t="shared" si="2"/>
        <v/>
      </c>
      <c r="I20" s="54" t="str">
        <f t="shared" si="3"/>
        <v/>
      </c>
      <c r="J20" s="13"/>
      <c r="K20" s="55" t="str">
        <f t="shared" si="4"/>
        <v/>
      </c>
      <c r="L20" s="10"/>
      <c r="M20" s="10"/>
      <c r="N20" s="10"/>
    </row>
    <row r="21" spans="1:14" x14ac:dyDescent="0.2">
      <c r="A21" s="16" t="str">
        <f t="shared" si="0"/>
        <v/>
      </c>
      <c r="B21" s="13"/>
      <c r="C21" s="14"/>
      <c r="D21" s="14"/>
      <c r="E21" s="40" t="str">
        <f>IF(B21="","",IF(C21="Team",IF(D21="Monthly",'📋 PRICING REFERENCE'!C11,'📋 PRICING REFERENCE'!D11),IF(C21="Department",IF(D21="Monthly",'📋 PRICING REFERENCE'!C12,'📋 PRICING REFERENCE'!D12),IF(C21="Company",IF(D21="Monthly",'📋 PRICING REFERENCE'!C13,'📋 PRICING REFERENCE'!D13),""))))</f>
        <v/>
      </c>
      <c r="F21" s="40" t="str">
        <f>IF(B21="","",IF(D21="Annual",IF(C21="Team",'📋 PRICING REFERENCE'!E11,IF(C21="Department",'📋 PRICING REFERENCE'!E12,IF(C21="Company",'📋 PRICING REFERENCE'!E13,""))),"-"))</f>
        <v/>
      </c>
      <c r="G21" s="48" t="str">
        <f t="shared" si="1"/>
        <v/>
      </c>
      <c r="H21" s="48" t="str">
        <f t="shared" si="2"/>
        <v/>
      </c>
      <c r="I21" s="16" t="str">
        <f t="shared" si="3"/>
        <v/>
      </c>
      <c r="J21" s="13"/>
      <c r="K21" s="48" t="str">
        <f t="shared" si="4"/>
        <v/>
      </c>
      <c r="L21" s="10"/>
      <c r="M21" s="10"/>
      <c r="N21" s="10"/>
    </row>
    <row r="22" spans="1:14" x14ac:dyDescent="0.2">
      <c r="A22" s="54" t="str">
        <f t="shared" si="0"/>
        <v/>
      </c>
      <c r="B22" s="13"/>
      <c r="C22" s="14"/>
      <c r="D22" s="14"/>
      <c r="E22" s="43" t="str">
        <f>IF(B22="","",IF(C22="Team",IF(D22="Monthly",'📋 PRICING REFERENCE'!C12,'📋 PRICING REFERENCE'!D12),IF(C22="Department",IF(D22="Monthly",'📋 PRICING REFERENCE'!C13,'📋 PRICING REFERENCE'!D13),IF(C22="Company",IF(D22="Monthly",'📋 PRICING REFERENCE'!C14,'📋 PRICING REFERENCE'!D14),""))))</f>
        <v/>
      </c>
      <c r="F22" s="43" t="str">
        <f>IF(B22="","",IF(D22="Annual",IF(C22="Team",'📋 PRICING REFERENCE'!E12,IF(C22="Department",'📋 PRICING REFERENCE'!E13,IF(C22="Company",'📋 PRICING REFERENCE'!E14,""))),"-"))</f>
        <v/>
      </c>
      <c r="G22" s="55" t="str">
        <f t="shared" si="1"/>
        <v/>
      </c>
      <c r="H22" s="55" t="str">
        <f t="shared" si="2"/>
        <v/>
      </c>
      <c r="I22" s="54" t="str">
        <f t="shared" si="3"/>
        <v/>
      </c>
      <c r="J22" s="13"/>
      <c r="K22" s="55" t="str">
        <f t="shared" si="4"/>
        <v/>
      </c>
      <c r="L22" s="10"/>
      <c r="M22" s="10"/>
      <c r="N22" s="10"/>
    </row>
    <row r="23" spans="1:14" x14ac:dyDescent="0.2">
      <c r="A23" s="16" t="str">
        <f t="shared" si="0"/>
        <v/>
      </c>
      <c r="B23" s="13"/>
      <c r="C23" s="14"/>
      <c r="D23" s="14"/>
      <c r="E23" s="40" t="str">
        <f>IF(B23="","",IF(C23="Team",IF(D23="Monthly",'📋 PRICING REFERENCE'!C13,'📋 PRICING REFERENCE'!D13),IF(C23="Department",IF(D23="Monthly",'📋 PRICING REFERENCE'!C14,'📋 PRICING REFERENCE'!D14),IF(C23="Company",IF(D23="Monthly",'📋 PRICING REFERENCE'!C15,'📋 PRICING REFERENCE'!D15),""))))</f>
        <v/>
      </c>
      <c r="F23" s="40" t="str">
        <f>IF(B23="","",IF(D23="Annual",IF(C23="Team",'📋 PRICING REFERENCE'!E13,IF(C23="Department",'📋 PRICING REFERENCE'!E14,IF(C23="Company",'📋 PRICING REFERENCE'!E15,""))),"-"))</f>
        <v/>
      </c>
      <c r="G23" s="48" t="str">
        <f t="shared" si="1"/>
        <v/>
      </c>
      <c r="H23" s="48" t="str">
        <f t="shared" si="2"/>
        <v/>
      </c>
      <c r="I23" s="16" t="str">
        <f t="shared" si="3"/>
        <v/>
      </c>
      <c r="J23" s="13"/>
      <c r="K23" s="48" t="str">
        <f t="shared" si="4"/>
        <v/>
      </c>
      <c r="L23" s="10"/>
      <c r="M23" s="10"/>
      <c r="N23" s="10"/>
    </row>
    <row r="24" spans="1:14" x14ac:dyDescent="0.2">
      <c r="A24" s="54" t="str">
        <f t="shared" si="0"/>
        <v/>
      </c>
      <c r="B24" s="13"/>
      <c r="C24" s="14"/>
      <c r="D24" s="14"/>
      <c r="E24" s="43" t="str">
        <f>IF(B24="","",IF(C24="Team",IF(D24="Monthly",'📋 PRICING REFERENCE'!C14,'📋 PRICING REFERENCE'!D14),IF(C24="Department",IF(D24="Monthly",'📋 PRICING REFERENCE'!C15,'📋 PRICING REFERENCE'!D15),IF(C24="Company",IF(D24="Monthly",'📋 PRICING REFERENCE'!C16,'📋 PRICING REFERENCE'!D16),""))))</f>
        <v/>
      </c>
      <c r="F24" s="43" t="str">
        <f>IF(B24="","",IF(D24="Annual",IF(C24="Team",'📋 PRICING REFERENCE'!E14,IF(C24="Department",'📋 PRICING REFERENCE'!E15,IF(C24="Company",'📋 PRICING REFERENCE'!E16,""))),"-"))</f>
        <v/>
      </c>
      <c r="G24" s="55" t="str">
        <f t="shared" si="1"/>
        <v/>
      </c>
      <c r="H24" s="55" t="str">
        <f t="shared" si="2"/>
        <v/>
      </c>
      <c r="I24" s="54" t="str">
        <f t="shared" si="3"/>
        <v/>
      </c>
      <c r="J24" s="13"/>
      <c r="K24" s="55" t="str">
        <f t="shared" si="4"/>
        <v/>
      </c>
      <c r="L24" s="10"/>
      <c r="M24" s="10"/>
      <c r="N24" s="10"/>
    </row>
    <row r="25" spans="1:14" x14ac:dyDescent="0.2">
      <c r="A25" s="16" t="str">
        <f t="shared" si="0"/>
        <v/>
      </c>
      <c r="B25" s="13"/>
      <c r="C25" s="14"/>
      <c r="D25" s="14"/>
      <c r="E25" s="40" t="str">
        <f>IF(B25="","",IF(C25="Team",IF(D25="Monthly",'📋 PRICING REFERENCE'!C15,'📋 PRICING REFERENCE'!D15),IF(C25="Department",IF(D25="Monthly",'📋 PRICING REFERENCE'!C16,'📋 PRICING REFERENCE'!D16),IF(C25="Company",IF(D25="Monthly",'📋 PRICING REFERENCE'!C17,'📋 PRICING REFERENCE'!D17),""))))</f>
        <v/>
      </c>
      <c r="F25" s="40" t="str">
        <f>IF(B25="","",IF(D25="Annual",IF(C25="Team",'📋 PRICING REFERENCE'!E15,IF(C25="Department",'📋 PRICING REFERENCE'!E16,IF(C25="Company",'📋 PRICING REFERENCE'!E17,""))),"-"))</f>
        <v/>
      </c>
      <c r="G25" s="48" t="str">
        <f t="shared" si="1"/>
        <v/>
      </c>
      <c r="H25" s="48" t="str">
        <f t="shared" si="2"/>
        <v/>
      </c>
      <c r="I25" s="16" t="str">
        <f t="shared" si="3"/>
        <v/>
      </c>
      <c r="J25" s="13"/>
      <c r="K25" s="48" t="str">
        <f t="shared" si="4"/>
        <v/>
      </c>
      <c r="L25" s="10"/>
      <c r="M25" s="10"/>
      <c r="N25" s="10"/>
    </row>
    <row r="26" spans="1:14" x14ac:dyDescent="0.2">
      <c r="A26" s="54" t="str">
        <f t="shared" si="0"/>
        <v/>
      </c>
      <c r="B26" s="13"/>
      <c r="C26" s="14"/>
      <c r="D26" s="14"/>
      <c r="E26" s="43" t="str">
        <f>IF(B26="","",IF(C26="Team",IF(D26="Monthly",'📋 PRICING REFERENCE'!C16,'📋 PRICING REFERENCE'!D16),IF(C26="Department",IF(D26="Monthly",'📋 PRICING REFERENCE'!C17,'📋 PRICING REFERENCE'!D17),IF(C26="Company",IF(D26="Monthly",'📋 PRICING REFERENCE'!C18,'📋 PRICING REFERENCE'!D18),""))))</f>
        <v/>
      </c>
      <c r="F26" s="43" t="str">
        <f>IF(B26="","",IF(D26="Annual",IF(C26="Team",'📋 PRICING REFERENCE'!E16,IF(C26="Department",'📋 PRICING REFERENCE'!E17,IF(C26="Company",'📋 PRICING REFERENCE'!E18,""))),"-"))</f>
        <v/>
      </c>
      <c r="G26" s="55" t="str">
        <f t="shared" si="1"/>
        <v/>
      </c>
      <c r="H26" s="55" t="str">
        <f t="shared" si="2"/>
        <v/>
      </c>
      <c r="I26" s="54" t="str">
        <f t="shared" si="3"/>
        <v/>
      </c>
      <c r="J26" s="13"/>
      <c r="K26" s="55" t="str">
        <f t="shared" si="4"/>
        <v/>
      </c>
      <c r="L26" s="10"/>
      <c r="M26" s="10"/>
      <c r="N26" s="10"/>
    </row>
    <row r="27" spans="1:14" x14ac:dyDescent="0.2">
      <c r="A27" s="16" t="str">
        <f t="shared" si="0"/>
        <v/>
      </c>
      <c r="B27" s="13"/>
      <c r="C27" s="14"/>
      <c r="D27" s="14"/>
      <c r="E27" s="40" t="str">
        <f>IF(B27="","",IF(C27="Team",IF(D27="Monthly",'📋 PRICING REFERENCE'!C17,'📋 PRICING REFERENCE'!D17),IF(C27="Department",IF(D27="Monthly",'📋 PRICING REFERENCE'!C18,'📋 PRICING REFERENCE'!D18),IF(C27="Company",IF(D27="Monthly",'📋 PRICING REFERENCE'!C19,'📋 PRICING REFERENCE'!D19),""))))</f>
        <v/>
      </c>
      <c r="F27" s="40" t="str">
        <f>IF(B27="","",IF(D27="Annual",IF(C27="Team",'📋 PRICING REFERENCE'!E17,IF(C27="Department",'📋 PRICING REFERENCE'!E18,IF(C27="Company",'📋 PRICING REFERENCE'!E19,""))),"-"))</f>
        <v/>
      </c>
      <c r="G27" s="48" t="str">
        <f t="shared" si="1"/>
        <v/>
      </c>
      <c r="H27" s="48" t="str">
        <f t="shared" si="2"/>
        <v/>
      </c>
      <c r="I27" s="16" t="str">
        <f t="shared" si="3"/>
        <v/>
      </c>
      <c r="J27" s="13"/>
      <c r="K27" s="48" t="str">
        <f t="shared" si="4"/>
        <v/>
      </c>
      <c r="L27" s="10"/>
      <c r="M27" s="10"/>
      <c r="N27" s="10"/>
    </row>
    <row r="28" spans="1:14" x14ac:dyDescent="0.2">
      <c r="A28" s="54" t="str">
        <f t="shared" si="0"/>
        <v/>
      </c>
      <c r="B28" s="13"/>
      <c r="C28" s="14"/>
      <c r="D28" s="14"/>
      <c r="E28" s="43" t="str">
        <f>IF(B28="","",IF(C28="Team",IF(D28="Monthly",'📋 PRICING REFERENCE'!C18,'📋 PRICING REFERENCE'!D18),IF(C28="Department",IF(D28="Monthly",'📋 PRICING REFERENCE'!C19,'📋 PRICING REFERENCE'!D19),IF(C28="Company",IF(D28="Monthly",'📋 PRICING REFERENCE'!C20,'📋 PRICING REFERENCE'!D20),""))))</f>
        <v/>
      </c>
      <c r="F28" s="43" t="str">
        <f>IF(B28="","",IF(D28="Annual",IF(C28="Team",'📋 PRICING REFERENCE'!E18,IF(C28="Department",'📋 PRICING REFERENCE'!E19,IF(C28="Company",'📋 PRICING REFERENCE'!E20,""))),"-"))</f>
        <v/>
      </c>
      <c r="G28" s="55" t="str">
        <f t="shared" si="1"/>
        <v/>
      </c>
      <c r="H28" s="55" t="str">
        <f t="shared" si="2"/>
        <v/>
      </c>
      <c r="I28" s="54" t="str">
        <f t="shared" si="3"/>
        <v/>
      </c>
      <c r="J28" s="13"/>
      <c r="K28" s="55" t="str">
        <f t="shared" si="4"/>
        <v/>
      </c>
      <c r="L28" s="10"/>
      <c r="M28" s="10"/>
      <c r="N28" s="10"/>
    </row>
    <row r="29" spans="1:14" x14ac:dyDescent="0.2">
      <c r="A29" s="16" t="str">
        <f t="shared" si="0"/>
        <v/>
      </c>
      <c r="B29" s="13"/>
      <c r="C29" s="14"/>
      <c r="D29" s="14"/>
      <c r="E29" s="40" t="str">
        <f>IF(B29="","",IF(C29="Team",IF(D29="Monthly",'📋 PRICING REFERENCE'!C19,'📋 PRICING REFERENCE'!D19),IF(C29="Department",IF(D29="Monthly",'📋 PRICING REFERENCE'!C20,'📋 PRICING REFERENCE'!D20),IF(C29="Company",IF(D29="Monthly",'📋 PRICING REFERENCE'!C21,'📋 PRICING REFERENCE'!D21),""))))</f>
        <v/>
      </c>
      <c r="F29" s="40" t="str">
        <f>IF(B29="","",IF(D29="Annual",IF(C29="Team",'📋 PRICING REFERENCE'!E19,IF(C29="Department",'📋 PRICING REFERENCE'!E20,IF(C29="Company",'📋 PRICING REFERENCE'!E21,""))),"-"))</f>
        <v/>
      </c>
      <c r="G29" s="48" t="str">
        <f t="shared" si="1"/>
        <v/>
      </c>
      <c r="H29" s="48" t="str">
        <f t="shared" si="2"/>
        <v/>
      </c>
      <c r="I29" s="16" t="str">
        <f t="shared" si="3"/>
        <v/>
      </c>
      <c r="J29" s="13"/>
      <c r="K29" s="48" t="str">
        <f t="shared" si="4"/>
        <v/>
      </c>
      <c r="L29" s="10"/>
      <c r="M29" s="10"/>
      <c r="N29" s="10"/>
    </row>
    <row r="30" spans="1:14" x14ac:dyDescent="0.2">
      <c r="A30" s="54" t="str">
        <f t="shared" si="0"/>
        <v/>
      </c>
      <c r="B30" s="13"/>
      <c r="C30" s="14"/>
      <c r="D30" s="14"/>
      <c r="E30" s="43" t="str">
        <f>IF(B30="","",IF(C30="Team",IF(D30="Monthly",'📋 PRICING REFERENCE'!C20,'📋 PRICING REFERENCE'!D20),IF(C30="Department",IF(D30="Monthly",'📋 PRICING REFERENCE'!C21,'📋 PRICING REFERENCE'!D21),IF(C30="Company",IF(D30="Monthly",'📋 PRICING REFERENCE'!C22,'📋 PRICING REFERENCE'!D22),""))))</f>
        <v/>
      </c>
      <c r="F30" s="43" t="str">
        <f>IF(B30="","",IF(D30="Annual",IF(C30="Team",'📋 PRICING REFERENCE'!E20,IF(C30="Department",'📋 PRICING REFERENCE'!E21,IF(C30="Company",'📋 PRICING REFERENCE'!E22,""))),"-"))</f>
        <v/>
      </c>
      <c r="G30" s="55" t="str">
        <f t="shared" si="1"/>
        <v/>
      </c>
      <c r="H30" s="55" t="str">
        <f t="shared" si="2"/>
        <v/>
      </c>
      <c r="I30" s="54" t="str">
        <f t="shared" si="3"/>
        <v/>
      </c>
      <c r="J30" s="13"/>
      <c r="K30" s="55" t="str">
        <f t="shared" si="4"/>
        <v/>
      </c>
      <c r="L30" s="10"/>
      <c r="M30" s="10"/>
      <c r="N30" s="10"/>
    </row>
    <row r="31" spans="1:14" x14ac:dyDescent="0.2">
      <c r="A31" s="16" t="str">
        <f t="shared" si="0"/>
        <v/>
      </c>
      <c r="B31" s="13"/>
      <c r="C31" s="14"/>
      <c r="D31" s="14"/>
      <c r="E31" s="40" t="str">
        <f>IF(B31="","",IF(C31="Team",IF(D31="Monthly",'📋 PRICING REFERENCE'!C21,'📋 PRICING REFERENCE'!D21),IF(C31="Department",IF(D31="Monthly",'📋 PRICING REFERENCE'!C22,'📋 PRICING REFERENCE'!D22),IF(C31="Company",IF(D31="Monthly",'📋 PRICING REFERENCE'!C23,'📋 PRICING REFERENCE'!D23),""))))</f>
        <v/>
      </c>
      <c r="F31" s="40" t="str">
        <f>IF(B31="","",IF(D31="Annual",IF(C31="Team",'📋 PRICING REFERENCE'!E21,IF(C31="Department",'📋 PRICING REFERENCE'!E22,IF(C31="Company",'📋 PRICING REFERENCE'!E23,""))),"-"))</f>
        <v/>
      </c>
      <c r="G31" s="48" t="str">
        <f t="shared" si="1"/>
        <v/>
      </c>
      <c r="H31" s="48" t="str">
        <f t="shared" si="2"/>
        <v/>
      </c>
      <c r="I31" s="16" t="str">
        <f t="shared" si="3"/>
        <v/>
      </c>
      <c r="J31" s="13"/>
      <c r="K31" s="48" t="str">
        <f t="shared" si="4"/>
        <v/>
      </c>
      <c r="L31" s="10"/>
      <c r="M31" s="10"/>
      <c r="N31" s="10"/>
    </row>
    <row r="32" spans="1:14" x14ac:dyDescent="0.2">
      <c r="A32" s="54" t="str">
        <f t="shared" si="0"/>
        <v/>
      </c>
      <c r="B32" s="13"/>
      <c r="C32" s="14"/>
      <c r="D32" s="14"/>
      <c r="E32" s="43" t="str">
        <f>IF(B32="","",IF(C32="Team",IF(D32="Monthly",'📋 PRICING REFERENCE'!C22,'📋 PRICING REFERENCE'!D22),IF(C32="Department",IF(D32="Monthly",'📋 PRICING REFERENCE'!C23,'📋 PRICING REFERENCE'!D23),IF(C32="Company",IF(D32="Monthly",'📋 PRICING REFERENCE'!C24,'📋 PRICING REFERENCE'!D24),""))))</f>
        <v/>
      </c>
      <c r="F32" s="43" t="str">
        <f>IF(B32="","",IF(D32="Annual",IF(C32="Team",'📋 PRICING REFERENCE'!E22,IF(C32="Department",'📋 PRICING REFERENCE'!E23,IF(C32="Company",'📋 PRICING REFERENCE'!E24,""))),"-"))</f>
        <v/>
      </c>
      <c r="G32" s="55" t="str">
        <f t="shared" si="1"/>
        <v/>
      </c>
      <c r="H32" s="55" t="str">
        <f t="shared" si="2"/>
        <v/>
      </c>
      <c r="I32" s="54" t="str">
        <f t="shared" si="3"/>
        <v/>
      </c>
      <c r="J32" s="13"/>
      <c r="K32" s="55" t="str">
        <f t="shared" si="4"/>
        <v/>
      </c>
      <c r="L32" s="10"/>
      <c r="M32" s="10"/>
      <c r="N32" s="10"/>
    </row>
    <row r="33" spans="1:14" x14ac:dyDescent="0.2">
      <c r="A33" s="16" t="str">
        <f t="shared" si="0"/>
        <v/>
      </c>
      <c r="B33" s="13"/>
      <c r="C33" s="14"/>
      <c r="D33" s="14"/>
      <c r="E33" s="40" t="str">
        <f>IF(B33="","",IF(C33="Team",IF(D33="Monthly",'📋 PRICING REFERENCE'!C23,'📋 PRICING REFERENCE'!D23),IF(C33="Department",IF(D33="Monthly",'📋 PRICING REFERENCE'!C24,'📋 PRICING REFERENCE'!D24),IF(C33="Company",IF(D33="Monthly",'📋 PRICING REFERENCE'!C25,'📋 PRICING REFERENCE'!D25),""))))</f>
        <v/>
      </c>
      <c r="F33" s="40" t="str">
        <f>IF(B33="","",IF(D33="Annual",IF(C33="Team",'📋 PRICING REFERENCE'!E23,IF(C33="Department",'📋 PRICING REFERENCE'!E24,IF(C33="Company",'📋 PRICING REFERENCE'!E25,""))),"-"))</f>
        <v/>
      </c>
      <c r="G33" s="48" t="str">
        <f t="shared" si="1"/>
        <v/>
      </c>
      <c r="H33" s="48" t="str">
        <f t="shared" si="2"/>
        <v/>
      </c>
      <c r="I33" s="16" t="str">
        <f t="shared" si="3"/>
        <v/>
      </c>
      <c r="J33" s="13"/>
      <c r="K33" s="48" t="str">
        <f t="shared" si="4"/>
        <v/>
      </c>
      <c r="L33" s="10"/>
      <c r="M33" s="10"/>
      <c r="N33" s="10"/>
    </row>
    <row r="34" spans="1:14" x14ac:dyDescent="0.2">
      <c r="A34" s="54" t="str">
        <f t="shared" si="0"/>
        <v/>
      </c>
      <c r="B34" s="13"/>
      <c r="C34" s="14"/>
      <c r="D34" s="14"/>
      <c r="E34" s="43" t="str">
        <f>IF(B34="","",IF(C34="Team",IF(D34="Monthly",'📋 PRICING REFERENCE'!C24,'📋 PRICING REFERENCE'!D24),IF(C34="Department",IF(D34="Monthly",'📋 PRICING REFERENCE'!C25,'📋 PRICING REFERENCE'!D25),IF(C34="Company",IF(D34="Monthly",'📋 PRICING REFERENCE'!C26,'📋 PRICING REFERENCE'!D26),""))))</f>
        <v/>
      </c>
      <c r="F34" s="43" t="str">
        <f>IF(B34="","",IF(D34="Annual",IF(C34="Team",'📋 PRICING REFERENCE'!E24,IF(C34="Department",'📋 PRICING REFERENCE'!E25,IF(C34="Company",'📋 PRICING REFERENCE'!E26,""))),"-"))</f>
        <v/>
      </c>
      <c r="G34" s="55" t="str">
        <f t="shared" si="1"/>
        <v/>
      </c>
      <c r="H34" s="55" t="str">
        <f t="shared" si="2"/>
        <v/>
      </c>
      <c r="I34" s="54" t="str">
        <f t="shared" si="3"/>
        <v/>
      </c>
      <c r="J34" s="13"/>
      <c r="K34" s="55" t="str">
        <f t="shared" si="4"/>
        <v/>
      </c>
      <c r="L34" s="10"/>
      <c r="M34" s="10"/>
      <c r="N34" s="10"/>
    </row>
    <row r="35" spans="1:14" x14ac:dyDescent="0.2">
      <c r="A35" s="16" t="str">
        <f t="shared" si="0"/>
        <v/>
      </c>
      <c r="B35" s="13"/>
      <c r="C35" s="14"/>
      <c r="D35" s="14"/>
      <c r="E35" s="40" t="str">
        <f>IF(B35="","",IF(C35="Team",IF(D35="Monthly",'📋 PRICING REFERENCE'!C25,'📋 PRICING REFERENCE'!D25),IF(C35="Department",IF(D35="Monthly",'📋 PRICING REFERENCE'!C26,'📋 PRICING REFERENCE'!D26),IF(C35="Company",IF(D35="Monthly",'📋 PRICING REFERENCE'!C27,'📋 PRICING REFERENCE'!D27),""))))</f>
        <v/>
      </c>
      <c r="F35" s="40" t="str">
        <f>IF(B35="","",IF(D35="Annual",IF(C35="Team",'📋 PRICING REFERENCE'!E25,IF(C35="Department",'📋 PRICING REFERENCE'!E26,IF(C35="Company",'📋 PRICING REFERENCE'!E27,""))),"-"))</f>
        <v/>
      </c>
      <c r="G35" s="48" t="str">
        <f t="shared" si="1"/>
        <v/>
      </c>
      <c r="H35" s="48" t="str">
        <f t="shared" si="2"/>
        <v/>
      </c>
      <c r="I35" s="16" t="str">
        <f t="shared" si="3"/>
        <v/>
      </c>
      <c r="J35" s="13"/>
      <c r="K35" s="48" t="str">
        <f t="shared" si="4"/>
        <v/>
      </c>
      <c r="L35" s="10"/>
      <c r="M35" s="10"/>
      <c r="N35" s="10"/>
    </row>
    <row r="36" spans="1:14" x14ac:dyDescent="0.2">
      <c r="A36" s="10"/>
      <c r="B36" s="10"/>
      <c r="C36" s="10"/>
      <c r="D36" s="10"/>
      <c r="E36" s="10"/>
      <c r="F36" s="10"/>
      <c r="G36" s="10"/>
      <c r="H36" s="10"/>
      <c r="I36" s="10"/>
      <c r="J36" s="10"/>
      <c r="K36" s="10"/>
      <c r="L36" s="10"/>
      <c r="M36" s="10"/>
      <c r="N36" s="10"/>
    </row>
    <row r="37" spans="1:14" x14ac:dyDescent="0.2">
      <c r="A37" s="10"/>
      <c r="B37" s="6" t="s">
        <v>79</v>
      </c>
      <c r="C37" s="10"/>
      <c r="D37" s="10"/>
      <c r="E37" s="10"/>
      <c r="F37" s="10"/>
      <c r="G37" s="10"/>
      <c r="H37" s="10"/>
      <c r="I37" s="10"/>
      <c r="J37" s="10"/>
      <c r="K37" s="10"/>
      <c r="L37" s="10"/>
      <c r="M37" s="10"/>
      <c r="N37" s="10"/>
    </row>
    <row r="38" spans="1:14" x14ac:dyDescent="0.2">
      <c r="A38" s="10"/>
      <c r="B38" s="8" t="s">
        <v>80</v>
      </c>
      <c r="C38" s="10"/>
      <c r="D38" s="10"/>
      <c r="E38" s="10"/>
      <c r="F38" s="10"/>
      <c r="G38" s="61">
        <f>COUNTA(B16:B35)</f>
        <v>0</v>
      </c>
      <c r="H38" s="10"/>
      <c r="I38" s="10"/>
      <c r="J38" s="10"/>
      <c r="K38" s="10"/>
      <c r="L38" s="10"/>
      <c r="M38" s="10"/>
      <c r="N38" s="10"/>
    </row>
    <row r="39" spans="1:14" x14ac:dyDescent="0.2">
      <c r="A39" s="10"/>
      <c r="B39" s="8" t="s">
        <v>107</v>
      </c>
      <c r="C39" s="10"/>
      <c r="D39" s="10"/>
      <c r="E39" s="10"/>
      <c r="F39" s="10"/>
      <c r="G39" s="47">
        <f>SUM(H16:H35)</f>
        <v>0</v>
      </c>
      <c r="H39" s="10"/>
      <c r="I39" s="10"/>
      <c r="J39" s="10"/>
      <c r="K39" s="10"/>
      <c r="L39" s="10"/>
      <c r="M39" s="10"/>
      <c r="N39" s="10"/>
    </row>
    <row r="40" spans="1:14" x14ac:dyDescent="0.2">
      <c r="A40" s="10"/>
      <c r="B40" s="8" t="s">
        <v>118</v>
      </c>
      <c r="C40" s="10"/>
      <c r="D40" s="10"/>
      <c r="E40" s="10"/>
      <c r="F40" s="10"/>
      <c r="G40" s="47">
        <f>SUM(K16:K35)</f>
        <v>0</v>
      </c>
      <c r="H40" s="10"/>
      <c r="I40" s="10"/>
      <c r="J40" s="10"/>
      <c r="K40" s="10"/>
      <c r="L40" s="10"/>
      <c r="M40" s="10"/>
      <c r="N40" s="10"/>
    </row>
    <row r="41" spans="1:14" x14ac:dyDescent="0.2">
      <c r="A41" s="10"/>
      <c r="B41" s="8" t="s">
        <v>119</v>
      </c>
      <c r="C41" s="10"/>
      <c r="D41" s="10"/>
      <c r="E41" s="10"/>
      <c r="F41" s="10"/>
      <c r="G41" s="47">
        <f>IFERROR(SUM(K16:K35)/COUNTA(B16:B35),0)</f>
        <v>0</v>
      </c>
      <c r="H41" s="10"/>
      <c r="I41" s="10"/>
      <c r="J41" s="10"/>
      <c r="K41" s="10"/>
      <c r="L41" s="10"/>
      <c r="M41" s="10"/>
      <c r="N41" s="10"/>
    </row>
    <row r="42" spans="1:14" x14ac:dyDescent="0.2">
      <c r="A42" s="10"/>
      <c r="B42" s="8" t="s">
        <v>110</v>
      </c>
      <c r="C42" s="10"/>
      <c r="D42" s="10"/>
      <c r="E42" s="10"/>
      <c r="F42" s="10"/>
      <c r="G42" s="47">
        <f>IFERROR(MAX(K16:K35),0)</f>
        <v>0</v>
      </c>
      <c r="H42" s="10"/>
      <c r="I42" s="10"/>
      <c r="J42" s="10"/>
      <c r="K42" s="10"/>
      <c r="L42" s="10"/>
      <c r="M42" s="10"/>
      <c r="N42" s="10"/>
    </row>
    <row r="43" spans="1:14" x14ac:dyDescent="0.2">
      <c r="A43" s="10"/>
      <c r="B43" s="10"/>
      <c r="C43" s="10"/>
      <c r="D43" s="10"/>
      <c r="E43" s="10"/>
      <c r="F43" s="10"/>
      <c r="G43" s="10"/>
      <c r="H43" s="10"/>
      <c r="I43" s="10"/>
      <c r="J43" s="10"/>
      <c r="K43" s="10"/>
      <c r="L43" s="10"/>
      <c r="M43" s="10"/>
      <c r="N43" s="10"/>
    </row>
    <row r="44" spans="1:14" x14ac:dyDescent="0.2">
      <c r="A44" s="6" t="s">
        <v>84</v>
      </c>
      <c r="B44" s="10"/>
      <c r="C44" s="10"/>
      <c r="D44" s="10"/>
      <c r="E44" s="10"/>
      <c r="F44" s="10"/>
      <c r="G44" s="10"/>
      <c r="H44" s="10"/>
      <c r="I44" s="10"/>
      <c r="J44" s="10"/>
      <c r="K44" s="10"/>
      <c r="L44" s="10"/>
      <c r="M44" s="10"/>
      <c r="N44" s="10"/>
    </row>
    <row r="45" spans="1:14" x14ac:dyDescent="0.2">
      <c r="A45" s="9"/>
      <c r="B45" s="9" t="s">
        <v>85</v>
      </c>
      <c r="C45" s="9" t="s">
        <v>86</v>
      </c>
      <c r="D45" s="9" t="s">
        <v>87</v>
      </c>
      <c r="E45" s="9" t="s">
        <v>88</v>
      </c>
      <c r="F45" s="9" t="s">
        <v>89</v>
      </c>
      <c r="G45" s="9" t="s">
        <v>90</v>
      </c>
      <c r="H45" s="9" t="s">
        <v>91</v>
      </c>
      <c r="I45" s="9" t="s">
        <v>92</v>
      </c>
      <c r="J45" s="9" t="s">
        <v>93</v>
      </c>
      <c r="K45" s="9" t="s">
        <v>94</v>
      </c>
      <c r="L45" s="9" t="s">
        <v>95</v>
      </c>
      <c r="M45" s="9" t="s">
        <v>96</v>
      </c>
      <c r="N45" s="9" t="s">
        <v>97</v>
      </c>
    </row>
    <row r="46" spans="1:14" x14ac:dyDescent="0.2">
      <c r="A46" s="11" t="s">
        <v>98</v>
      </c>
      <c r="B46" s="48">
        <f>IF(1&lt;=6,SUM(H16:H35),0)</f>
        <v>0</v>
      </c>
      <c r="C46" s="48">
        <f>IF(2&lt;=6,SUM(H16:H35),0)</f>
        <v>0</v>
      </c>
      <c r="D46" s="48">
        <f>IF(3&lt;=6,SUM(H16:H35),0)</f>
        <v>0</v>
      </c>
      <c r="E46" s="48">
        <f>IF(4&lt;=6,SUM(H16:H35),0)</f>
        <v>0</v>
      </c>
      <c r="F46" s="48">
        <f>IF(5&lt;=6,SUM(H16:H35),0)</f>
        <v>0</v>
      </c>
      <c r="G46" s="48">
        <f>IF(6&lt;=6,SUM(H16:H35),0)</f>
        <v>0</v>
      </c>
      <c r="H46" s="48">
        <f>IF(7&lt;=6,SUM(H16:H35),0)</f>
        <v>0</v>
      </c>
      <c r="I46" s="48">
        <f>IF(8&lt;=6,SUM(H16:H35),0)</f>
        <v>0</v>
      </c>
      <c r="J46" s="48">
        <f>IF(9&lt;=6,SUM(H16:H35),0)</f>
        <v>0</v>
      </c>
      <c r="K46" s="48">
        <f>IF(10&lt;=6,SUM(H16:H35),0)</f>
        <v>0</v>
      </c>
      <c r="L46" s="48">
        <f>IF(11&lt;=6,SUM(H16:H35),0)</f>
        <v>0</v>
      </c>
      <c r="M46" s="48">
        <f>IF(12&lt;=6,SUM(H16:H35),0)</f>
        <v>0</v>
      </c>
      <c r="N46" s="49">
        <f>SUM(B46:M46)</f>
        <v>0</v>
      </c>
    </row>
    <row r="47" spans="1:14" x14ac:dyDescent="0.2">
      <c r="A47" s="10"/>
      <c r="B47" s="10"/>
      <c r="C47" s="10"/>
      <c r="D47" s="10"/>
      <c r="E47" s="10"/>
      <c r="F47" s="10"/>
      <c r="G47" s="10"/>
      <c r="H47" s="10"/>
      <c r="I47" s="10"/>
      <c r="J47" s="10"/>
      <c r="K47" s="10"/>
      <c r="L47" s="10"/>
      <c r="M47" s="10"/>
      <c r="N47" s="10"/>
    </row>
    <row r="48" spans="1:14" x14ac:dyDescent="0.2">
      <c r="A48" s="10"/>
      <c r="B48" s="10"/>
      <c r="C48" s="10"/>
      <c r="D48" s="10"/>
      <c r="E48" s="10"/>
      <c r="F48" s="10"/>
      <c r="G48" s="10"/>
      <c r="H48" s="10"/>
      <c r="I48" s="10"/>
      <c r="J48" s="10"/>
      <c r="K48" s="10"/>
      <c r="L48" s="10"/>
      <c r="M48" s="10"/>
      <c r="N48" s="10"/>
    </row>
    <row r="49" spans="1:14" x14ac:dyDescent="0.2">
      <c r="A49" s="10"/>
      <c r="B49" s="10"/>
      <c r="C49" s="10"/>
      <c r="D49" s="10"/>
      <c r="E49" s="10"/>
      <c r="F49" s="10"/>
      <c r="G49" s="10"/>
      <c r="H49" s="10"/>
      <c r="I49" s="10"/>
      <c r="J49" s="10"/>
      <c r="K49" s="10"/>
      <c r="L49" s="10"/>
      <c r="M49" s="10"/>
      <c r="N49" s="10"/>
    </row>
    <row r="50" spans="1:14" x14ac:dyDescent="0.2">
      <c r="A50" s="10"/>
      <c r="B50" s="10"/>
      <c r="C50" s="10"/>
      <c r="D50" s="10"/>
      <c r="E50" s="10"/>
      <c r="F50" s="10"/>
      <c r="G50" s="10"/>
      <c r="H50" s="10"/>
      <c r="I50" s="10"/>
      <c r="J50" s="10"/>
      <c r="K50" s="10"/>
      <c r="L50" s="10"/>
      <c r="M50" s="10"/>
      <c r="N50" s="10"/>
    </row>
    <row r="51" spans="1:14" x14ac:dyDescent="0.2">
      <c r="A51" s="10"/>
      <c r="B51" s="10"/>
      <c r="C51" s="10"/>
      <c r="D51" s="10"/>
      <c r="E51" s="10"/>
      <c r="F51" s="10"/>
      <c r="G51" s="10"/>
      <c r="H51" s="10"/>
      <c r="I51" s="10"/>
      <c r="J51" s="10"/>
      <c r="K51" s="10"/>
      <c r="L51" s="10"/>
      <c r="M51" s="10"/>
      <c r="N51" s="10"/>
    </row>
    <row r="52" spans="1:14" x14ac:dyDescent="0.2">
      <c r="A52" s="10"/>
      <c r="B52" s="10"/>
      <c r="C52" s="10"/>
      <c r="D52" s="10"/>
      <c r="E52" s="10"/>
      <c r="F52" s="10"/>
      <c r="G52" s="10"/>
      <c r="H52" s="10"/>
      <c r="I52" s="10"/>
      <c r="J52" s="10"/>
      <c r="K52" s="10"/>
      <c r="L52" s="10"/>
      <c r="M52" s="10"/>
      <c r="N52" s="10"/>
    </row>
    <row r="53" spans="1:14" x14ac:dyDescent="0.2">
      <c r="A53" s="10"/>
      <c r="B53" s="10"/>
      <c r="C53" s="10"/>
      <c r="D53" s="10"/>
      <c r="E53" s="10"/>
      <c r="F53" s="10"/>
      <c r="G53" s="10"/>
      <c r="H53" s="10"/>
      <c r="I53" s="10"/>
      <c r="J53" s="10"/>
      <c r="K53" s="10"/>
      <c r="L53" s="10"/>
      <c r="M53" s="10"/>
      <c r="N53" s="10"/>
    </row>
    <row r="54" spans="1:14" x14ac:dyDescent="0.2">
      <c r="A54" s="10"/>
      <c r="B54" s="10"/>
      <c r="C54" s="10"/>
      <c r="D54" s="10"/>
      <c r="E54" s="10"/>
      <c r="F54" s="10"/>
      <c r="G54" s="10"/>
      <c r="H54" s="10"/>
      <c r="I54" s="10"/>
      <c r="J54" s="10"/>
      <c r="K54" s="10"/>
      <c r="L54" s="10"/>
      <c r="M54" s="10"/>
      <c r="N54" s="10"/>
    </row>
    <row r="55" spans="1:14" x14ac:dyDescent="0.2">
      <c r="A55" s="10"/>
      <c r="B55" s="10"/>
      <c r="C55" s="10"/>
      <c r="D55" s="10"/>
      <c r="E55" s="10"/>
      <c r="F55" s="10"/>
      <c r="G55" s="10"/>
      <c r="H55" s="10"/>
      <c r="I55" s="10"/>
      <c r="J55" s="10"/>
      <c r="K55" s="10"/>
      <c r="L55" s="10"/>
      <c r="M55" s="10"/>
      <c r="N55" s="10"/>
    </row>
    <row r="56" spans="1:14" x14ac:dyDescent="0.2">
      <c r="A56" s="10"/>
      <c r="B56" s="10"/>
      <c r="C56" s="10"/>
      <c r="D56" s="10"/>
      <c r="E56" s="10"/>
      <c r="F56" s="10"/>
      <c r="G56" s="10"/>
      <c r="H56" s="10"/>
      <c r="I56" s="10"/>
      <c r="J56" s="10"/>
      <c r="K56" s="10"/>
      <c r="L56" s="10"/>
      <c r="M56" s="10"/>
      <c r="N56" s="10"/>
    </row>
    <row r="57" spans="1:14" x14ac:dyDescent="0.2">
      <c r="A57" s="10"/>
      <c r="B57" s="10"/>
      <c r="C57" s="10"/>
      <c r="D57" s="10"/>
      <c r="E57" s="10"/>
      <c r="F57" s="10"/>
      <c r="G57" s="10"/>
      <c r="H57" s="10"/>
      <c r="I57" s="10"/>
      <c r="J57" s="10"/>
      <c r="K57" s="10"/>
      <c r="L57" s="10"/>
      <c r="M57" s="10"/>
      <c r="N57" s="10"/>
    </row>
    <row r="58" spans="1:14" x14ac:dyDescent="0.2">
      <c r="A58" s="10"/>
      <c r="B58" s="10"/>
      <c r="C58" s="10"/>
      <c r="D58" s="10"/>
      <c r="E58" s="10"/>
      <c r="F58" s="10"/>
      <c r="G58" s="10"/>
      <c r="H58" s="10"/>
      <c r="I58" s="10"/>
      <c r="J58" s="10"/>
      <c r="K58" s="10"/>
      <c r="L58" s="10"/>
      <c r="M58" s="10"/>
      <c r="N58" s="10"/>
    </row>
    <row r="59" spans="1:14" x14ac:dyDescent="0.2">
      <c r="A59" s="10"/>
      <c r="B59" s="10"/>
      <c r="C59" s="10"/>
      <c r="D59" s="10"/>
      <c r="E59" s="10"/>
      <c r="F59" s="10"/>
      <c r="G59" s="10"/>
      <c r="H59" s="10"/>
      <c r="I59" s="10"/>
      <c r="J59" s="10"/>
      <c r="K59" s="10"/>
      <c r="L59" s="10"/>
      <c r="M59" s="10"/>
      <c r="N59" s="10"/>
    </row>
    <row r="60" spans="1:14" x14ac:dyDescent="0.2">
      <c r="A60" s="10"/>
      <c r="B60" s="10"/>
      <c r="C60" s="10"/>
      <c r="D60" s="10"/>
      <c r="E60" s="10"/>
      <c r="F60" s="10"/>
      <c r="G60" s="10"/>
      <c r="H60" s="10"/>
      <c r="I60" s="10"/>
      <c r="J60" s="10"/>
      <c r="K60" s="10"/>
      <c r="L60" s="10"/>
      <c r="M60" s="10"/>
      <c r="N60" s="10"/>
    </row>
    <row r="61" spans="1:14" x14ac:dyDescent="0.2">
      <c r="A61" s="10"/>
      <c r="B61" s="10"/>
      <c r="C61" s="10"/>
      <c r="D61" s="10"/>
      <c r="E61" s="10"/>
      <c r="F61" s="10"/>
      <c r="G61" s="10"/>
      <c r="H61" s="10"/>
      <c r="I61" s="10"/>
      <c r="J61" s="10"/>
      <c r="K61" s="10"/>
      <c r="L61" s="10"/>
      <c r="M61" s="10"/>
      <c r="N61" s="10"/>
    </row>
    <row r="62" spans="1:14" x14ac:dyDescent="0.2">
      <c r="A62" s="10"/>
      <c r="B62" s="10"/>
      <c r="C62" s="10"/>
      <c r="D62" s="10"/>
      <c r="E62" s="10"/>
      <c r="F62" s="10"/>
      <c r="G62" s="10"/>
      <c r="H62" s="10"/>
      <c r="I62" s="10"/>
      <c r="J62" s="10"/>
      <c r="K62" s="10"/>
      <c r="L62" s="10"/>
      <c r="M62" s="10"/>
      <c r="N62" s="10"/>
    </row>
    <row r="63" spans="1:14" x14ac:dyDescent="0.2">
      <c r="A63" s="10"/>
      <c r="B63" s="10"/>
      <c r="C63" s="10"/>
      <c r="D63" s="10"/>
      <c r="E63" s="10"/>
      <c r="F63" s="10"/>
      <c r="G63" s="10"/>
      <c r="H63" s="10"/>
      <c r="I63" s="10"/>
      <c r="J63" s="10"/>
      <c r="K63" s="10"/>
      <c r="L63" s="10"/>
      <c r="M63" s="10"/>
      <c r="N63" s="10"/>
    </row>
    <row r="64" spans="1:14" x14ac:dyDescent="0.2">
      <c r="A64" s="10"/>
      <c r="B64" s="10"/>
      <c r="C64" s="10"/>
      <c r="D64" s="10"/>
      <c r="E64" s="10"/>
      <c r="F64" s="10"/>
      <c r="G64" s="10"/>
      <c r="H64" s="10"/>
      <c r="I64" s="10"/>
      <c r="J64" s="10"/>
      <c r="K64" s="10"/>
      <c r="L64" s="10"/>
      <c r="M64" s="10"/>
      <c r="N64" s="10"/>
    </row>
    <row r="65" spans="1:14" x14ac:dyDescent="0.2">
      <c r="A65" s="10"/>
      <c r="B65" s="10"/>
      <c r="C65" s="10"/>
      <c r="D65" s="10"/>
      <c r="E65" s="10"/>
      <c r="F65" s="10"/>
      <c r="G65" s="10"/>
      <c r="H65" s="10"/>
      <c r="I65" s="10"/>
      <c r="J65" s="10"/>
      <c r="K65" s="10"/>
      <c r="L65" s="10"/>
      <c r="M65" s="10"/>
      <c r="N65" s="10"/>
    </row>
    <row r="66" spans="1:14" x14ac:dyDescent="0.2">
      <c r="A66" s="10"/>
      <c r="B66" s="10"/>
      <c r="C66" s="10"/>
      <c r="D66" s="10"/>
      <c r="E66" s="10"/>
      <c r="F66" s="10"/>
      <c r="G66" s="10"/>
      <c r="H66" s="10"/>
      <c r="I66" s="10"/>
      <c r="J66" s="10"/>
      <c r="K66" s="10"/>
      <c r="L66" s="10"/>
      <c r="M66" s="10"/>
      <c r="N66" s="10"/>
    </row>
    <row r="67" spans="1:14" x14ac:dyDescent="0.2">
      <c r="A67" s="10"/>
      <c r="B67" s="10"/>
      <c r="C67" s="10"/>
      <c r="D67" s="10"/>
      <c r="E67" s="10"/>
      <c r="F67" s="10"/>
      <c r="G67" s="10"/>
      <c r="H67" s="10"/>
      <c r="I67" s="10"/>
      <c r="J67" s="10"/>
      <c r="K67" s="10"/>
      <c r="L67" s="10"/>
      <c r="M67" s="10"/>
      <c r="N67" s="10"/>
    </row>
    <row r="68" spans="1:14" x14ac:dyDescent="0.2">
      <c r="A68" s="10"/>
      <c r="B68" s="10"/>
      <c r="C68" s="10"/>
      <c r="D68" s="10"/>
      <c r="E68" s="10"/>
      <c r="F68" s="10"/>
      <c r="G68" s="10"/>
      <c r="H68" s="10"/>
      <c r="I68" s="10"/>
      <c r="J68" s="10"/>
      <c r="K68" s="10"/>
      <c r="L68" s="10"/>
      <c r="M68" s="10"/>
      <c r="N68" s="10"/>
    </row>
    <row r="69" spans="1:14" x14ac:dyDescent="0.2">
      <c r="A69" s="10"/>
      <c r="B69" s="10"/>
      <c r="C69" s="10"/>
      <c r="D69" s="10"/>
      <c r="E69" s="10"/>
      <c r="F69" s="10"/>
      <c r="G69" s="10"/>
      <c r="H69" s="10"/>
      <c r="I69" s="10"/>
      <c r="J69" s="10"/>
      <c r="K69" s="10"/>
      <c r="L69" s="10"/>
      <c r="M69" s="10"/>
      <c r="N69" s="10"/>
    </row>
    <row r="70" spans="1:14" x14ac:dyDescent="0.2">
      <c r="A70" s="10"/>
      <c r="B70" s="10"/>
      <c r="C70" s="10"/>
      <c r="D70" s="10"/>
      <c r="E70" s="10"/>
      <c r="F70" s="10"/>
      <c r="G70" s="10"/>
      <c r="H70" s="10"/>
      <c r="I70" s="10"/>
      <c r="J70" s="10"/>
      <c r="K70" s="10"/>
      <c r="L70" s="10"/>
      <c r="M70" s="10"/>
      <c r="N70" s="10"/>
    </row>
    <row r="71" spans="1:14" x14ac:dyDescent="0.2">
      <c r="A71" s="10"/>
      <c r="B71" s="10"/>
      <c r="C71" s="10"/>
      <c r="D71" s="10"/>
      <c r="E71" s="10"/>
      <c r="F71" s="10"/>
      <c r="G71" s="10"/>
      <c r="H71" s="10"/>
      <c r="I71" s="10"/>
      <c r="J71" s="10"/>
      <c r="K71" s="10"/>
      <c r="L71" s="10"/>
      <c r="M71" s="10"/>
      <c r="N71" s="10"/>
    </row>
    <row r="72" spans="1:14" x14ac:dyDescent="0.2">
      <c r="A72" s="10"/>
      <c r="B72" s="10"/>
      <c r="C72" s="10"/>
      <c r="D72" s="10"/>
      <c r="E72" s="10"/>
      <c r="F72" s="10"/>
      <c r="G72" s="10"/>
      <c r="H72" s="10"/>
      <c r="I72" s="10"/>
      <c r="J72" s="10"/>
      <c r="K72" s="10"/>
      <c r="L72" s="10"/>
      <c r="M72" s="10"/>
      <c r="N72" s="10"/>
    </row>
    <row r="73" spans="1:14" x14ac:dyDescent="0.2">
      <c r="A73" s="10"/>
      <c r="B73" s="10"/>
      <c r="C73" s="10"/>
      <c r="D73" s="10"/>
      <c r="E73" s="10"/>
      <c r="F73" s="10"/>
      <c r="G73" s="10"/>
      <c r="H73" s="10"/>
      <c r="I73" s="10"/>
      <c r="J73" s="10"/>
      <c r="K73" s="10"/>
      <c r="L73" s="10"/>
      <c r="M73" s="10"/>
      <c r="N73" s="10"/>
    </row>
    <row r="74" spans="1:14" x14ac:dyDescent="0.2">
      <c r="A74" s="10"/>
      <c r="B74" s="10"/>
      <c r="C74" s="10"/>
      <c r="D74" s="10"/>
      <c r="E74" s="10"/>
      <c r="F74" s="10"/>
      <c r="G74" s="10"/>
      <c r="H74" s="10"/>
      <c r="I74" s="10"/>
      <c r="J74" s="10"/>
      <c r="K74" s="10"/>
      <c r="L74" s="10"/>
      <c r="M74" s="10"/>
      <c r="N74" s="10"/>
    </row>
    <row r="75" spans="1:14" x14ac:dyDescent="0.2">
      <c r="A75" s="10"/>
      <c r="B75" s="10"/>
      <c r="C75" s="10"/>
      <c r="D75" s="10"/>
      <c r="E75" s="10"/>
      <c r="F75" s="10"/>
      <c r="G75" s="10"/>
      <c r="H75" s="10"/>
      <c r="I75" s="10"/>
      <c r="J75" s="10"/>
      <c r="K75" s="10"/>
      <c r="L75" s="10"/>
      <c r="M75" s="10"/>
      <c r="N75" s="10"/>
    </row>
    <row r="76" spans="1:14" x14ac:dyDescent="0.2">
      <c r="A76" s="10"/>
      <c r="B76" s="10"/>
      <c r="C76" s="10"/>
      <c r="D76" s="10"/>
      <c r="E76" s="10"/>
      <c r="F76" s="10"/>
      <c r="G76" s="10"/>
      <c r="H76" s="10"/>
      <c r="I76" s="10"/>
      <c r="J76" s="10"/>
      <c r="K76" s="10"/>
      <c r="L76" s="10"/>
      <c r="M76" s="10"/>
      <c r="N76" s="10"/>
    </row>
    <row r="77" spans="1:14" x14ac:dyDescent="0.2">
      <c r="A77" s="10"/>
      <c r="B77" s="10"/>
      <c r="C77" s="10"/>
      <c r="D77" s="10"/>
      <c r="E77" s="10"/>
      <c r="F77" s="10"/>
      <c r="G77" s="10"/>
      <c r="H77" s="10"/>
      <c r="I77" s="10"/>
      <c r="J77" s="10"/>
      <c r="K77" s="10"/>
      <c r="L77" s="10"/>
      <c r="M77" s="10"/>
      <c r="N77" s="10"/>
    </row>
    <row r="78" spans="1:14" x14ac:dyDescent="0.2">
      <c r="A78" s="10"/>
      <c r="B78" s="10"/>
      <c r="C78" s="10"/>
      <c r="D78" s="10"/>
      <c r="E78" s="10"/>
      <c r="F78" s="10"/>
      <c r="G78" s="10"/>
      <c r="H78" s="10"/>
      <c r="I78" s="10"/>
      <c r="J78" s="10"/>
      <c r="K78" s="10"/>
      <c r="L78" s="10"/>
      <c r="M78" s="10"/>
      <c r="N78" s="10"/>
    </row>
    <row r="79" spans="1:14" x14ac:dyDescent="0.2">
      <c r="A79" s="10"/>
      <c r="B79" s="10"/>
      <c r="C79" s="10"/>
      <c r="D79" s="10"/>
      <c r="E79" s="10"/>
      <c r="F79" s="10"/>
      <c r="G79" s="10"/>
      <c r="H79" s="10"/>
      <c r="I79" s="10"/>
      <c r="J79" s="10"/>
      <c r="K79" s="10"/>
      <c r="L79" s="10"/>
      <c r="M79" s="10"/>
      <c r="N79" s="10"/>
    </row>
    <row r="80" spans="1:14" x14ac:dyDescent="0.2">
      <c r="A80" s="10"/>
      <c r="B80" s="10"/>
      <c r="C80" s="10"/>
      <c r="D80" s="10"/>
      <c r="E80" s="10"/>
      <c r="F80" s="10"/>
      <c r="G80" s="10"/>
      <c r="H80" s="10"/>
      <c r="I80" s="10"/>
      <c r="J80" s="10"/>
      <c r="K80" s="10"/>
      <c r="L80" s="10"/>
      <c r="M80" s="10"/>
      <c r="N80" s="10"/>
    </row>
    <row r="81" spans="1:14" x14ac:dyDescent="0.2">
      <c r="A81" s="10"/>
      <c r="B81" s="10"/>
      <c r="C81" s="10"/>
      <c r="D81" s="10"/>
      <c r="E81" s="10"/>
      <c r="F81" s="10"/>
      <c r="G81" s="10"/>
      <c r="H81" s="10"/>
      <c r="I81" s="10"/>
      <c r="J81" s="10"/>
      <c r="K81" s="10"/>
      <c r="L81" s="10"/>
      <c r="M81" s="10"/>
      <c r="N81" s="10"/>
    </row>
    <row r="82" spans="1:14" x14ac:dyDescent="0.2">
      <c r="A82" s="10"/>
      <c r="B82" s="10"/>
      <c r="C82" s="10"/>
      <c r="D82" s="10"/>
      <c r="E82" s="10"/>
      <c r="F82" s="10"/>
      <c r="G82" s="10"/>
      <c r="H82" s="10"/>
      <c r="I82" s="10"/>
      <c r="J82" s="10"/>
      <c r="K82" s="10"/>
      <c r="L82" s="10"/>
      <c r="M82" s="10"/>
      <c r="N82" s="10"/>
    </row>
    <row r="83" spans="1:14" x14ac:dyDescent="0.2">
      <c r="A83" s="10"/>
      <c r="B83" s="10"/>
      <c r="C83" s="10"/>
      <c r="D83" s="10"/>
      <c r="E83" s="10"/>
      <c r="F83" s="10"/>
      <c r="G83" s="10"/>
      <c r="H83" s="10"/>
      <c r="I83" s="10"/>
      <c r="J83" s="10"/>
      <c r="K83" s="10"/>
      <c r="L83" s="10"/>
      <c r="M83" s="10"/>
      <c r="N83" s="10"/>
    </row>
    <row r="84" spans="1:14" x14ac:dyDescent="0.2">
      <c r="A84" s="10"/>
      <c r="B84" s="10"/>
      <c r="C84" s="10"/>
      <c r="D84" s="10"/>
      <c r="E84" s="10"/>
      <c r="F84" s="10"/>
      <c r="G84" s="10"/>
      <c r="H84" s="10"/>
      <c r="I84" s="10"/>
      <c r="J84" s="10"/>
      <c r="K84" s="10"/>
      <c r="L84" s="10"/>
      <c r="M84" s="10"/>
      <c r="N84" s="10"/>
    </row>
    <row r="85" spans="1:14" x14ac:dyDescent="0.2">
      <c r="A85" s="10"/>
      <c r="B85" s="10"/>
      <c r="C85" s="10"/>
      <c r="D85" s="10"/>
      <c r="E85" s="10"/>
      <c r="F85" s="10"/>
      <c r="G85" s="10"/>
      <c r="H85" s="10"/>
      <c r="I85" s="10"/>
      <c r="J85" s="10"/>
      <c r="K85" s="10"/>
      <c r="L85" s="10"/>
      <c r="M85" s="10"/>
      <c r="N85" s="10"/>
    </row>
    <row r="86" spans="1:14" x14ac:dyDescent="0.2">
      <c r="A86" s="10"/>
      <c r="B86" s="10"/>
      <c r="C86" s="10"/>
      <c r="D86" s="10"/>
      <c r="E86" s="10"/>
      <c r="F86" s="10"/>
      <c r="G86" s="10"/>
      <c r="H86" s="10"/>
      <c r="I86" s="10"/>
      <c r="J86" s="10"/>
      <c r="K86" s="10"/>
      <c r="L86" s="10"/>
      <c r="M86" s="10"/>
      <c r="N86" s="10"/>
    </row>
    <row r="87" spans="1:14" x14ac:dyDescent="0.2">
      <c r="A87" s="10"/>
      <c r="B87" s="10"/>
      <c r="C87" s="10"/>
      <c r="D87" s="10"/>
      <c r="E87" s="10"/>
      <c r="F87" s="10"/>
      <c r="G87" s="10"/>
      <c r="H87" s="10"/>
      <c r="I87" s="10"/>
      <c r="J87" s="10"/>
      <c r="K87" s="10"/>
      <c r="L87" s="10"/>
      <c r="M87" s="10"/>
      <c r="N87" s="10"/>
    </row>
    <row r="88" spans="1:14" x14ac:dyDescent="0.2">
      <c r="A88" s="10"/>
      <c r="B88" s="10"/>
      <c r="C88" s="10"/>
      <c r="D88" s="10"/>
      <c r="E88" s="10"/>
      <c r="F88" s="10"/>
      <c r="G88" s="10"/>
      <c r="H88" s="10"/>
      <c r="I88" s="10"/>
      <c r="J88" s="10"/>
      <c r="K88" s="10"/>
      <c r="L88" s="10"/>
      <c r="M88" s="10"/>
      <c r="N88" s="10"/>
    </row>
    <row r="89" spans="1:14" x14ac:dyDescent="0.2">
      <c r="A89" s="10"/>
      <c r="B89" s="10"/>
      <c r="C89" s="10"/>
      <c r="D89" s="10"/>
      <c r="E89" s="10"/>
      <c r="F89" s="10"/>
      <c r="G89" s="10"/>
      <c r="H89" s="10"/>
      <c r="I89" s="10"/>
      <c r="J89" s="10"/>
      <c r="K89" s="10"/>
      <c r="L89" s="10"/>
      <c r="M89" s="10"/>
      <c r="N89" s="10"/>
    </row>
    <row r="90" spans="1:14" x14ac:dyDescent="0.2">
      <c r="A90" s="10"/>
      <c r="B90" s="10"/>
      <c r="C90" s="10"/>
      <c r="D90" s="10"/>
      <c r="E90" s="10"/>
      <c r="F90" s="10"/>
      <c r="G90" s="10"/>
      <c r="H90" s="10"/>
      <c r="I90" s="10"/>
      <c r="J90" s="10"/>
      <c r="K90" s="10"/>
      <c r="L90" s="10"/>
      <c r="M90" s="10"/>
      <c r="N90" s="10"/>
    </row>
    <row r="91" spans="1:14" x14ac:dyDescent="0.2">
      <c r="A91" s="10"/>
      <c r="B91" s="10"/>
      <c r="C91" s="10"/>
      <c r="D91" s="10"/>
      <c r="E91" s="10"/>
      <c r="F91" s="10"/>
      <c r="G91" s="10"/>
      <c r="H91" s="10"/>
      <c r="I91" s="10"/>
      <c r="J91" s="10"/>
      <c r="K91" s="10"/>
      <c r="L91" s="10"/>
      <c r="M91" s="10"/>
      <c r="N91" s="10"/>
    </row>
    <row r="92" spans="1:14" x14ac:dyDescent="0.2">
      <c r="A92" s="10"/>
      <c r="B92" s="10"/>
      <c r="C92" s="10"/>
      <c r="D92" s="10"/>
      <c r="E92" s="10"/>
      <c r="F92" s="10"/>
      <c r="G92" s="10"/>
      <c r="H92" s="10"/>
      <c r="I92" s="10"/>
      <c r="J92" s="10"/>
      <c r="K92" s="10"/>
      <c r="L92" s="10"/>
      <c r="M92" s="10"/>
      <c r="N92" s="10"/>
    </row>
    <row r="93" spans="1:14" x14ac:dyDescent="0.2">
      <c r="A93" s="10"/>
      <c r="B93" s="10"/>
      <c r="C93" s="10"/>
      <c r="D93" s="10"/>
      <c r="E93" s="10"/>
      <c r="F93" s="10"/>
      <c r="G93" s="10"/>
      <c r="H93" s="10"/>
      <c r="I93" s="10"/>
      <c r="J93" s="10"/>
      <c r="K93" s="10"/>
      <c r="L93" s="10"/>
      <c r="M93" s="10"/>
      <c r="N93" s="10"/>
    </row>
    <row r="94" spans="1:14" x14ac:dyDescent="0.2">
      <c r="A94" s="10"/>
      <c r="B94" s="10"/>
      <c r="C94" s="10"/>
      <c r="D94" s="10"/>
      <c r="E94" s="10"/>
      <c r="F94" s="10"/>
      <c r="G94" s="10"/>
      <c r="H94" s="10"/>
      <c r="I94" s="10"/>
      <c r="J94" s="10"/>
      <c r="K94" s="10"/>
      <c r="L94" s="10"/>
      <c r="M94" s="10"/>
      <c r="N94" s="10"/>
    </row>
    <row r="95" spans="1:14" x14ac:dyDescent="0.2">
      <c r="A95" s="10"/>
      <c r="B95" s="10"/>
      <c r="C95" s="10"/>
      <c r="D95" s="10"/>
      <c r="E95" s="10"/>
      <c r="F95" s="10"/>
      <c r="G95" s="10"/>
      <c r="H95" s="10"/>
      <c r="I95" s="10"/>
      <c r="J95" s="10"/>
      <c r="K95" s="10"/>
      <c r="L95" s="10"/>
      <c r="M95" s="10"/>
      <c r="N95" s="10"/>
    </row>
    <row r="96" spans="1:14" x14ac:dyDescent="0.2">
      <c r="A96" s="10"/>
      <c r="B96" s="10"/>
      <c r="C96" s="10"/>
      <c r="D96" s="10"/>
      <c r="E96" s="10"/>
      <c r="F96" s="10"/>
      <c r="G96" s="10"/>
      <c r="H96" s="10"/>
      <c r="I96" s="10"/>
      <c r="J96" s="10"/>
      <c r="K96" s="10"/>
      <c r="L96" s="10"/>
      <c r="M96" s="10"/>
      <c r="N96" s="10"/>
    </row>
    <row r="97" spans="1:14" x14ac:dyDescent="0.2">
      <c r="A97" s="10"/>
      <c r="B97" s="10"/>
      <c r="C97" s="10"/>
      <c r="D97" s="10"/>
      <c r="E97" s="10"/>
      <c r="F97" s="10"/>
      <c r="G97" s="10"/>
      <c r="H97" s="10"/>
      <c r="I97" s="10"/>
      <c r="J97" s="10"/>
      <c r="K97" s="10"/>
      <c r="L97" s="10"/>
      <c r="M97" s="10"/>
      <c r="N97" s="10"/>
    </row>
    <row r="98" spans="1:14" x14ac:dyDescent="0.2">
      <c r="A98" s="10"/>
      <c r="B98" s="10"/>
      <c r="C98" s="10"/>
      <c r="D98" s="10"/>
      <c r="E98" s="10"/>
      <c r="F98" s="10"/>
      <c r="G98" s="10"/>
      <c r="H98" s="10"/>
      <c r="I98" s="10"/>
      <c r="J98" s="10"/>
      <c r="K98" s="10"/>
      <c r="L98" s="10"/>
      <c r="M98" s="10"/>
      <c r="N98" s="10"/>
    </row>
    <row r="99" spans="1:14" x14ac:dyDescent="0.2">
      <c r="A99" s="10"/>
      <c r="B99" s="10"/>
      <c r="C99" s="10"/>
      <c r="D99" s="10"/>
      <c r="E99" s="10"/>
      <c r="F99" s="10"/>
      <c r="G99" s="10"/>
      <c r="H99" s="10"/>
      <c r="I99" s="10"/>
      <c r="J99" s="10"/>
      <c r="K99" s="10"/>
      <c r="L99" s="10"/>
      <c r="M99" s="10"/>
      <c r="N99" s="10"/>
    </row>
    <row r="100" spans="1:14" x14ac:dyDescent="0.2">
      <c r="A100" s="10"/>
      <c r="B100" s="10"/>
      <c r="C100" s="10"/>
      <c r="D100" s="10"/>
      <c r="E100" s="10"/>
      <c r="F100" s="10"/>
      <c r="G100" s="10"/>
      <c r="H100" s="10"/>
      <c r="I100" s="10"/>
      <c r="J100" s="10"/>
      <c r="K100" s="10"/>
      <c r="L100" s="10"/>
      <c r="M100" s="10"/>
      <c r="N100" s="10"/>
    </row>
  </sheetData>
  <dataValidations count="2">
    <dataValidation type="list" allowBlank="1" showInputMessage="1" showErrorMessage="1" sqref="C16:C35" xr:uid="{861E31E4-40EF-F245-803D-4B3754903DC3}">
      <formula1>"Team,Department,Company"</formula1>
    </dataValidation>
    <dataValidation type="list" allowBlank="1" showInputMessage="1" showErrorMessage="1" sqref="D16:D35" xr:uid="{148FC7DD-143A-7648-AAFA-B30C421B7824}">
      <formula1>"Monthly,Annual"</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A5978-7E82-864F-8E43-96B1B874D560}">
  <sheetPr>
    <tabColor rgb="FF7B0000"/>
  </sheetPr>
  <dimension ref="A1:N100"/>
  <sheetViews>
    <sheetView showGridLines="0" workbookViewId="0"/>
  </sheetViews>
  <sheetFormatPr baseColWidth="10" defaultRowHeight="16" x14ac:dyDescent="0.2"/>
  <cols>
    <col min="1" max="1" width="7" customWidth="1"/>
    <col min="2" max="2" width="24.1640625" customWidth="1"/>
    <col min="3" max="4" width="15.83203125" customWidth="1"/>
    <col min="5" max="6" width="18.33203125" customWidth="1"/>
    <col min="7" max="8" width="20" customWidth="1"/>
    <col min="9" max="9" width="18.33203125" customWidth="1"/>
    <col min="10" max="10" width="26.6640625" customWidth="1"/>
    <col min="11" max="11" width="21.6640625" customWidth="1"/>
  </cols>
  <sheetData>
    <row r="1" spans="1:14" x14ac:dyDescent="0.2">
      <c r="A1" s="62"/>
      <c r="B1" s="62"/>
      <c r="C1" s="62"/>
      <c r="D1" s="62"/>
      <c r="E1" s="62"/>
      <c r="F1" s="62"/>
      <c r="G1" s="62"/>
      <c r="H1" s="62"/>
      <c r="I1" s="62"/>
      <c r="J1" s="62"/>
      <c r="K1" s="62"/>
      <c r="L1" s="10"/>
      <c r="M1" s="10"/>
      <c r="N1" s="10"/>
    </row>
    <row r="2" spans="1:14" x14ac:dyDescent="0.2">
      <c r="A2" s="62"/>
      <c r="B2" s="62"/>
      <c r="C2" s="62"/>
      <c r="D2" s="62"/>
      <c r="E2" s="62"/>
      <c r="F2" s="62"/>
      <c r="G2" s="62"/>
      <c r="H2" s="62"/>
      <c r="I2" s="62"/>
      <c r="J2" s="62"/>
      <c r="K2" s="62"/>
      <c r="L2" s="10"/>
      <c r="M2" s="10"/>
      <c r="N2" s="10"/>
    </row>
    <row r="3" spans="1:14" x14ac:dyDescent="0.2">
      <c r="A3" s="62"/>
      <c r="B3" s="62"/>
      <c r="C3" s="62"/>
      <c r="D3" s="62"/>
      <c r="E3" s="62"/>
      <c r="F3" s="62"/>
      <c r="G3" s="62"/>
      <c r="H3" s="62"/>
      <c r="I3" s="62"/>
      <c r="J3" s="62"/>
      <c r="K3" s="62"/>
      <c r="L3" s="10"/>
      <c r="M3" s="10"/>
      <c r="N3" s="10"/>
    </row>
    <row r="4" spans="1:14" x14ac:dyDescent="0.2">
      <c r="A4" s="10"/>
      <c r="B4" s="10"/>
      <c r="C4" s="10"/>
      <c r="D4" s="10"/>
      <c r="E4" s="10"/>
      <c r="F4" s="10"/>
      <c r="G4" s="10"/>
      <c r="H4" s="10"/>
      <c r="I4" s="10"/>
      <c r="J4" s="10"/>
      <c r="K4" s="10"/>
      <c r="L4" s="10"/>
      <c r="M4" s="10"/>
      <c r="N4" s="10"/>
    </row>
    <row r="5" spans="1:14" x14ac:dyDescent="0.2">
      <c r="A5" s="10"/>
      <c r="B5" s="63" t="s">
        <v>120</v>
      </c>
      <c r="C5" s="25"/>
      <c r="D5" s="25"/>
      <c r="E5" s="25"/>
      <c r="F5" s="25"/>
      <c r="G5" s="25"/>
      <c r="H5" s="25"/>
      <c r="I5" s="25"/>
      <c r="J5" s="25"/>
      <c r="K5" s="25"/>
      <c r="L5" s="10"/>
      <c r="M5" s="10"/>
      <c r="N5" s="10"/>
    </row>
    <row r="6" spans="1:14" x14ac:dyDescent="0.2">
      <c r="A6" s="10"/>
      <c r="B6" s="25" t="s">
        <v>121</v>
      </c>
      <c r="C6" s="25"/>
      <c r="D6" s="25"/>
      <c r="E6" s="25"/>
      <c r="F6" s="25"/>
      <c r="G6" s="25"/>
      <c r="H6" s="25"/>
      <c r="I6" s="25"/>
      <c r="J6" s="25"/>
      <c r="K6" s="25"/>
      <c r="L6" s="10"/>
      <c r="M6" s="10"/>
      <c r="N6" s="10"/>
    </row>
    <row r="7" spans="1:14" x14ac:dyDescent="0.2">
      <c r="A7" s="10"/>
      <c r="B7" s="25" t="s">
        <v>122</v>
      </c>
      <c r="C7" s="25"/>
      <c r="D7" s="25"/>
      <c r="E7" s="25"/>
      <c r="F7" s="25"/>
      <c r="G7" s="25"/>
      <c r="H7" s="25"/>
      <c r="I7" s="25"/>
      <c r="J7" s="25"/>
      <c r="K7" s="25"/>
      <c r="L7" s="10"/>
      <c r="M7" s="10"/>
      <c r="N7" s="10"/>
    </row>
    <row r="8" spans="1:14" x14ac:dyDescent="0.2">
      <c r="A8" s="10"/>
      <c r="B8" s="25" t="s">
        <v>123</v>
      </c>
      <c r="C8" s="25"/>
      <c r="D8" s="25"/>
      <c r="E8" s="25"/>
      <c r="F8" s="25"/>
      <c r="G8" s="25"/>
      <c r="H8" s="25"/>
      <c r="I8" s="25"/>
      <c r="J8" s="25"/>
      <c r="K8" s="25"/>
      <c r="L8" s="10"/>
      <c r="M8" s="10"/>
      <c r="N8" s="10"/>
    </row>
    <row r="9" spans="1:14" x14ac:dyDescent="0.2">
      <c r="A9" s="10"/>
      <c r="B9" s="25" t="s">
        <v>124</v>
      </c>
      <c r="C9" s="25"/>
      <c r="D9" s="25"/>
      <c r="E9" s="25"/>
      <c r="F9" s="25"/>
      <c r="G9" s="25"/>
      <c r="H9" s="25"/>
      <c r="I9" s="25"/>
      <c r="J9" s="25"/>
      <c r="K9" s="25"/>
      <c r="L9" s="10"/>
      <c r="M9" s="10"/>
      <c r="N9" s="10"/>
    </row>
    <row r="10" spans="1:14" x14ac:dyDescent="0.2">
      <c r="A10" s="10"/>
      <c r="B10" s="25" t="s">
        <v>125</v>
      </c>
      <c r="C10" s="25"/>
      <c r="D10" s="25"/>
      <c r="E10" s="25"/>
      <c r="F10" s="25"/>
      <c r="G10" s="25"/>
      <c r="H10" s="25"/>
      <c r="I10" s="25"/>
      <c r="J10" s="25"/>
      <c r="K10" s="25"/>
      <c r="L10" s="10"/>
      <c r="M10" s="10"/>
      <c r="N10" s="10"/>
    </row>
    <row r="11" spans="1:14" x14ac:dyDescent="0.2">
      <c r="A11" s="10"/>
      <c r="B11" s="25" t="s">
        <v>126</v>
      </c>
      <c r="C11" s="25"/>
      <c r="D11" s="25"/>
      <c r="E11" s="25"/>
      <c r="F11" s="25"/>
      <c r="G11" s="25"/>
      <c r="H11" s="25"/>
      <c r="I11" s="25"/>
      <c r="J11" s="25"/>
      <c r="K11" s="25"/>
      <c r="L11" s="10"/>
      <c r="M11" s="10"/>
      <c r="N11" s="10"/>
    </row>
    <row r="12" spans="1:14" x14ac:dyDescent="0.2">
      <c r="A12" s="10"/>
      <c r="B12" s="25" t="s">
        <v>127</v>
      </c>
      <c r="C12" s="25"/>
      <c r="D12" s="25"/>
      <c r="E12" s="25"/>
      <c r="F12" s="25"/>
      <c r="G12" s="25"/>
      <c r="H12" s="25"/>
      <c r="I12" s="25"/>
      <c r="J12" s="25"/>
      <c r="K12" s="25"/>
      <c r="L12" s="10"/>
      <c r="M12" s="10"/>
      <c r="N12" s="10"/>
    </row>
    <row r="13" spans="1:14" x14ac:dyDescent="0.2">
      <c r="A13" s="10"/>
      <c r="B13" s="10"/>
      <c r="C13" s="10"/>
      <c r="D13" s="10"/>
      <c r="E13" s="10"/>
      <c r="F13" s="10"/>
      <c r="G13" s="10"/>
      <c r="H13" s="10"/>
      <c r="I13" s="10"/>
      <c r="J13" s="10"/>
      <c r="K13" s="10"/>
      <c r="L13" s="10"/>
      <c r="M13" s="10"/>
      <c r="N13" s="10"/>
    </row>
    <row r="14" spans="1:14" x14ac:dyDescent="0.2">
      <c r="A14" s="10"/>
      <c r="B14" s="6" t="s">
        <v>67</v>
      </c>
      <c r="C14" s="35"/>
      <c r="D14" s="35"/>
      <c r="E14" s="35"/>
      <c r="F14" s="35"/>
      <c r="G14" s="35"/>
      <c r="H14" s="35"/>
      <c r="I14" s="35"/>
      <c r="J14" s="35"/>
      <c r="K14" s="35"/>
      <c r="L14" s="10"/>
      <c r="M14" s="10"/>
      <c r="N14" s="10"/>
    </row>
    <row r="15" spans="1:14" x14ac:dyDescent="0.2">
      <c r="A15" s="36" t="s">
        <v>68</v>
      </c>
      <c r="B15" s="36" t="s">
        <v>69</v>
      </c>
      <c r="C15" s="36" t="s">
        <v>12</v>
      </c>
      <c r="D15" s="36" t="s">
        <v>128</v>
      </c>
      <c r="E15" s="36" t="s">
        <v>70</v>
      </c>
      <c r="F15" s="36" t="s">
        <v>71</v>
      </c>
      <c r="G15" s="36" t="s">
        <v>129</v>
      </c>
      <c r="H15" s="36" t="s">
        <v>130</v>
      </c>
      <c r="I15" s="36" t="s">
        <v>24</v>
      </c>
      <c r="J15" s="36" t="s">
        <v>131</v>
      </c>
      <c r="K15" s="36" t="s">
        <v>75</v>
      </c>
      <c r="L15" s="10"/>
      <c r="M15" s="10"/>
      <c r="N15" s="10"/>
    </row>
    <row r="16" spans="1:14" x14ac:dyDescent="0.2">
      <c r="A16" s="37">
        <v>1</v>
      </c>
      <c r="B16" s="4" t="s">
        <v>76</v>
      </c>
      <c r="C16" s="37" t="s">
        <v>18</v>
      </c>
      <c r="D16" s="37" t="s">
        <v>42</v>
      </c>
      <c r="E16" s="60">
        <v>699</v>
      </c>
      <c r="F16" s="37" t="s">
        <v>77</v>
      </c>
      <c r="G16" s="64">
        <v>0.1</v>
      </c>
      <c r="H16" s="60">
        <v>69.900000000000006</v>
      </c>
      <c r="I16" s="37" t="s">
        <v>45</v>
      </c>
      <c r="J16" s="60">
        <v>838.8</v>
      </c>
      <c r="K16" s="4" t="s">
        <v>132</v>
      </c>
      <c r="L16" s="10"/>
      <c r="M16" s="10"/>
      <c r="N16" s="10"/>
    </row>
    <row r="17" spans="1:14" x14ac:dyDescent="0.2">
      <c r="A17" s="37">
        <v>2</v>
      </c>
      <c r="B17" s="4" t="s">
        <v>76</v>
      </c>
      <c r="C17" s="37" t="s">
        <v>19</v>
      </c>
      <c r="D17" s="37" t="s">
        <v>48</v>
      </c>
      <c r="E17" s="60">
        <v>1599</v>
      </c>
      <c r="F17" s="37" t="s">
        <v>77</v>
      </c>
      <c r="G17" s="64">
        <v>0.12</v>
      </c>
      <c r="H17" s="60">
        <v>191.88</v>
      </c>
      <c r="I17" s="37" t="s">
        <v>45</v>
      </c>
      <c r="J17" s="60">
        <v>2302.56</v>
      </c>
      <c r="K17" s="4" t="s">
        <v>133</v>
      </c>
      <c r="L17" s="10"/>
      <c r="M17" s="10"/>
      <c r="N17" s="10"/>
    </row>
    <row r="18" spans="1:14" x14ac:dyDescent="0.2">
      <c r="A18" s="37">
        <v>3</v>
      </c>
      <c r="B18" s="4" t="s">
        <v>76</v>
      </c>
      <c r="C18" s="37" t="s">
        <v>17</v>
      </c>
      <c r="D18" s="37" t="s">
        <v>53</v>
      </c>
      <c r="E18" s="60">
        <v>169</v>
      </c>
      <c r="F18" s="60">
        <v>2028</v>
      </c>
      <c r="G18" s="64">
        <v>0.15</v>
      </c>
      <c r="H18" s="60">
        <v>304.2</v>
      </c>
      <c r="I18" s="37" t="s">
        <v>134</v>
      </c>
      <c r="J18" s="60">
        <v>304.2</v>
      </c>
      <c r="K18" s="4" t="s">
        <v>135</v>
      </c>
      <c r="L18" s="10"/>
      <c r="M18" s="10"/>
      <c r="N18" s="10"/>
    </row>
    <row r="19" spans="1:14" x14ac:dyDescent="0.2">
      <c r="A19" s="37">
        <v>4</v>
      </c>
      <c r="B19" s="4" t="s">
        <v>76</v>
      </c>
      <c r="C19" s="37" t="s">
        <v>19</v>
      </c>
      <c r="D19" s="37" t="s">
        <v>53</v>
      </c>
      <c r="E19" s="60">
        <v>1349</v>
      </c>
      <c r="F19" s="60">
        <v>16188</v>
      </c>
      <c r="G19" s="64">
        <v>0.15</v>
      </c>
      <c r="H19" s="60">
        <v>2428.1999999999998</v>
      </c>
      <c r="I19" s="37" t="s">
        <v>134</v>
      </c>
      <c r="J19" s="60">
        <v>2428.1999999999998</v>
      </c>
      <c r="K19" s="4" t="s">
        <v>135</v>
      </c>
      <c r="L19" s="10"/>
      <c r="M19" s="10"/>
      <c r="N19" s="10"/>
    </row>
    <row r="20" spans="1:14" x14ac:dyDescent="0.2">
      <c r="A20" s="54" t="str">
        <f>IF(B20&lt;&gt;"",ROW()-19,"")</f>
        <v/>
      </c>
      <c r="B20" s="13"/>
      <c r="C20" s="14"/>
      <c r="D20" s="14"/>
      <c r="E20" s="43" t="str">
        <f>IF(B20="","",IF(D20="D3",IF(C20="Team",'📋 PRICING REFERENCE'!D6,IF(C20="Department",'📋 PRICING REFERENCE'!D7,IF(C20="Company",'📋 PRICING REFERENCE'!D8,""))),IF(C20="Team",'📋 PRICING REFERENCE'!C6,IF(C20="Department",'📋 PRICING REFERENCE'!C7,IF(C20="Company",'📋 PRICING REFERENCE'!C8,"")))))</f>
        <v/>
      </c>
      <c r="F20" s="43" t="str">
        <f>IF(B20="","",IF(D20="D3",IF(C20="Team",'📋 PRICING REFERENCE'!E6,IF(C20="Department",'📋 PRICING REFERENCE'!E7,IF(C20="Company",'📋 PRICING REFERENCE'!E8,""))),"-"))</f>
        <v/>
      </c>
      <c r="G20" s="65" t="str">
        <f>IF(B20="","",IF(D20="D1",0.1,IF(D20="D2",0.12,IF(D20="D3",0.15,""))))</f>
        <v/>
      </c>
      <c r="H20" s="55" t="str">
        <f>IF(B20="","",IF(OR(D20="D1",D20="D2"),E20*G20,IF(D20="D3",F20*G20,"")))</f>
        <v/>
      </c>
      <c r="I20" s="54" t="str">
        <f>IF(B20="","",IF(OR(D20="D1",D20="D2"),"12 months",IF(D20="D3","Month 1 (lump sum)","")))</f>
        <v/>
      </c>
      <c r="J20" s="55" t="str">
        <f>IF(B20="","",IF(OR(D20="D1",D20="D2"),H20*12,IF(D20="D3",H20,"")))</f>
        <v/>
      </c>
      <c r="K20" s="13"/>
      <c r="L20" s="10"/>
      <c r="M20" s="10"/>
      <c r="N20" s="10"/>
    </row>
    <row r="21" spans="1:14" x14ac:dyDescent="0.2">
      <c r="A21" s="16" t="str">
        <f t="shared" ref="A21:A39" si="0">IF(B21&lt;&gt;"",ROW()-19,"")</f>
        <v/>
      </c>
      <c r="B21" s="13"/>
      <c r="C21" s="14"/>
      <c r="D21" s="14"/>
      <c r="E21" s="40" t="str">
        <f>IF(B21="","",IF(D21="D3",IF(C21="Team",'📋 PRICING REFERENCE'!D7,IF(C21="Department",'📋 PRICING REFERENCE'!D8,IF(C21="Company",'📋 PRICING REFERENCE'!D9,""))),IF(C21="Team",'📋 PRICING REFERENCE'!C7,IF(C21="Department",'📋 PRICING REFERENCE'!C8,IF(C21="Company",'📋 PRICING REFERENCE'!C9,"")))))</f>
        <v/>
      </c>
      <c r="F21" s="40" t="str">
        <f>IF(B21="","",IF(D21="D3",IF(C21="Team",'📋 PRICING REFERENCE'!E7,IF(C21="Department",'📋 PRICING REFERENCE'!E8,IF(C21="Company",'📋 PRICING REFERENCE'!E9,""))),"-"))</f>
        <v/>
      </c>
      <c r="G21" s="17" t="str">
        <f t="shared" ref="G21:G39" si="1">IF(B21="","",IF(D21="D1",0.1,IF(D21="D2",0.12,IF(D21="D3",0.15,""))))</f>
        <v/>
      </c>
      <c r="H21" s="48" t="str">
        <f t="shared" ref="H21:H39" si="2">IF(B21="","",IF(OR(D21="D1",D21="D2"),E21*G21,IF(D21="D3",F21*G21,"")))</f>
        <v/>
      </c>
      <c r="I21" s="16" t="str">
        <f t="shared" ref="I21:I39" si="3">IF(B21="","",IF(OR(D21="D1",D21="D2"),"12 months",IF(D21="D3","Month 1 (lump sum)","")))</f>
        <v/>
      </c>
      <c r="J21" s="48" t="str">
        <f t="shared" ref="J21:J39" si="4">IF(B21="","",IF(OR(D21="D1",D21="D2"),H21*12,IF(D21="D3",H21,"")))</f>
        <v/>
      </c>
      <c r="K21" s="13"/>
      <c r="L21" s="10"/>
      <c r="M21" s="10"/>
      <c r="N21" s="10"/>
    </row>
    <row r="22" spans="1:14" x14ac:dyDescent="0.2">
      <c r="A22" s="54" t="str">
        <f t="shared" si="0"/>
        <v/>
      </c>
      <c r="B22" s="13"/>
      <c r="C22" s="14"/>
      <c r="D22" s="14"/>
      <c r="E22" s="43" t="str">
        <f>IF(B22="","",IF(D22="D3",IF(C22="Team",'📋 PRICING REFERENCE'!D8,IF(C22="Department",'📋 PRICING REFERENCE'!D9,IF(C22="Company",'📋 PRICING REFERENCE'!D10,""))),IF(C22="Team",'📋 PRICING REFERENCE'!C8,IF(C22="Department",'📋 PRICING REFERENCE'!C9,IF(C22="Company",'📋 PRICING REFERENCE'!C10,"")))))</f>
        <v/>
      </c>
      <c r="F22" s="43" t="str">
        <f>IF(B22="","",IF(D22="D3",IF(C22="Team",'📋 PRICING REFERENCE'!E8,IF(C22="Department",'📋 PRICING REFERENCE'!E9,IF(C22="Company",'📋 PRICING REFERENCE'!E10,""))),"-"))</f>
        <v/>
      </c>
      <c r="G22" s="65" t="str">
        <f t="shared" si="1"/>
        <v/>
      </c>
      <c r="H22" s="55" t="str">
        <f t="shared" si="2"/>
        <v/>
      </c>
      <c r="I22" s="54" t="str">
        <f t="shared" si="3"/>
        <v/>
      </c>
      <c r="J22" s="55" t="str">
        <f t="shared" si="4"/>
        <v/>
      </c>
      <c r="K22" s="13"/>
      <c r="L22" s="10"/>
      <c r="M22" s="10"/>
      <c r="N22" s="10"/>
    </row>
    <row r="23" spans="1:14" x14ac:dyDescent="0.2">
      <c r="A23" s="16" t="str">
        <f t="shared" si="0"/>
        <v/>
      </c>
      <c r="B23" s="13"/>
      <c r="C23" s="14"/>
      <c r="D23" s="14"/>
      <c r="E23" s="40" t="str">
        <f>IF(B23="","",IF(D23="D3",IF(C23="Team",'📋 PRICING REFERENCE'!D9,IF(C23="Department",'📋 PRICING REFERENCE'!D10,IF(C23="Company",'📋 PRICING REFERENCE'!D11,""))),IF(C23="Team",'📋 PRICING REFERENCE'!C9,IF(C23="Department",'📋 PRICING REFERENCE'!C10,IF(C23="Company",'📋 PRICING REFERENCE'!C11,"")))))</f>
        <v/>
      </c>
      <c r="F23" s="40" t="str">
        <f>IF(B23="","",IF(D23="D3",IF(C23="Team",'📋 PRICING REFERENCE'!E9,IF(C23="Department",'📋 PRICING REFERENCE'!E10,IF(C23="Company",'📋 PRICING REFERENCE'!E11,""))),"-"))</f>
        <v/>
      </c>
      <c r="G23" s="17" t="str">
        <f t="shared" si="1"/>
        <v/>
      </c>
      <c r="H23" s="48" t="str">
        <f t="shared" si="2"/>
        <v/>
      </c>
      <c r="I23" s="16" t="str">
        <f t="shared" si="3"/>
        <v/>
      </c>
      <c r="J23" s="48" t="str">
        <f t="shared" si="4"/>
        <v/>
      </c>
      <c r="K23" s="13"/>
      <c r="L23" s="10"/>
      <c r="M23" s="10"/>
      <c r="N23" s="10"/>
    </row>
    <row r="24" spans="1:14" x14ac:dyDescent="0.2">
      <c r="A24" s="54" t="str">
        <f t="shared" si="0"/>
        <v/>
      </c>
      <c r="B24" s="13"/>
      <c r="C24" s="14"/>
      <c r="D24" s="14"/>
      <c r="E24" s="43" t="str">
        <f>IF(B24="","",IF(D24="D3",IF(C24="Team",'📋 PRICING REFERENCE'!D10,IF(C24="Department",'📋 PRICING REFERENCE'!D11,IF(C24="Company",'📋 PRICING REFERENCE'!D12,""))),IF(C24="Team",'📋 PRICING REFERENCE'!C10,IF(C24="Department",'📋 PRICING REFERENCE'!C11,IF(C24="Company",'📋 PRICING REFERENCE'!C12,"")))))</f>
        <v/>
      </c>
      <c r="F24" s="43" t="str">
        <f>IF(B24="","",IF(D24="D3",IF(C24="Team",'📋 PRICING REFERENCE'!E10,IF(C24="Department",'📋 PRICING REFERENCE'!E11,IF(C24="Company",'📋 PRICING REFERENCE'!E12,""))),"-"))</f>
        <v/>
      </c>
      <c r="G24" s="65" t="str">
        <f t="shared" si="1"/>
        <v/>
      </c>
      <c r="H24" s="55" t="str">
        <f t="shared" si="2"/>
        <v/>
      </c>
      <c r="I24" s="54" t="str">
        <f t="shared" si="3"/>
        <v/>
      </c>
      <c r="J24" s="55" t="str">
        <f t="shared" si="4"/>
        <v/>
      </c>
      <c r="K24" s="13"/>
      <c r="L24" s="10"/>
      <c r="M24" s="10"/>
      <c r="N24" s="10"/>
    </row>
    <row r="25" spans="1:14" x14ac:dyDescent="0.2">
      <c r="A25" s="16" t="str">
        <f t="shared" si="0"/>
        <v/>
      </c>
      <c r="B25" s="13"/>
      <c r="C25" s="14"/>
      <c r="D25" s="14"/>
      <c r="E25" s="40" t="str">
        <f>IF(B25="","",IF(D25="D3",IF(C25="Team",'📋 PRICING REFERENCE'!D11,IF(C25="Department",'📋 PRICING REFERENCE'!D12,IF(C25="Company",'📋 PRICING REFERENCE'!D13,""))),IF(C25="Team",'📋 PRICING REFERENCE'!C11,IF(C25="Department",'📋 PRICING REFERENCE'!C12,IF(C25="Company",'📋 PRICING REFERENCE'!C13,"")))))</f>
        <v/>
      </c>
      <c r="F25" s="40" t="str">
        <f>IF(B25="","",IF(D25="D3",IF(C25="Team",'📋 PRICING REFERENCE'!E11,IF(C25="Department",'📋 PRICING REFERENCE'!E12,IF(C25="Company",'📋 PRICING REFERENCE'!E13,""))),"-"))</f>
        <v/>
      </c>
      <c r="G25" s="17" t="str">
        <f t="shared" si="1"/>
        <v/>
      </c>
      <c r="H25" s="48" t="str">
        <f t="shared" si="2"/>
        <v/>
      </c>
      <c r="I25" s="16" t="str">
        <f t="shared" si="3"/>
        <v/>
      </c>
      <c r="J25" s="48" t="str">
        <f t="shared" si="4"/>
        <v/>
      </c>
      <c r="K25" s="13"/>
      <c r="L25" s="10"/>
      <c r="M25" s="10"/>
      <c r="N25" s="10"/>
    </row>
    <row r="26" spans="1:14" x14ac:dyDescent="0.2">
      <c r="A26" s="54" t="str">
        <f t="shared" si="0"/>
        <v/>
      </c>
      <c r="B26" s="13"/>
      <c r="C26" s="14"/>
      <c r="D26" s="14"/>
      <c r="E26" s="43" t="str">
        <f>IF(B26="","",IF(D26="D3",IF(C26="Team",'📋 PRICING REFERENCE'!D12,IF(C26="Department",'📋 PRICING REFERENCE'!D13,IF(C26="Company",'📋 PRICING REFERENCE'!D14,""))),IF(C26="Team",'📋 PRICING REFERENCE'!C12,IF(C26="Department",'📋 PRICING REFERENCE'!C13,IF(C26="Company",'📋 PRICING REFERENCE'!C14,"")))))</f>
        <v/>
      </c>
      <c r="F26" s="43" t="str">
        <f>IF(B26="","",IF(D26="D3",IF(C26="Team",'📋 PRICING REFERENCE'!E12,IF(C26="Department",'📋 PRICING REFERENCE'!E13,IF(C26="Company",'📋 PRICING REFERENCE'!E14,""))),"-"))</f>
        <v/>
      </c>
      <c r="G26" s="65" t="str">
        <f t="shared" si="1"/>
        <v/>
      </c>
      <c r="H26" s="55" t="str">
        <f t="shared" si="2"/>
        <v/>
      </c>
      <c r="I26" s="54" t="str">
        <f t="shared" si="3"/>
        <v/>
      </c>
      <c r="J26" s="55" t="str">
        <f t="shared" si="4"/>
        <v/>
      </c>
      <c r="K26" s="13"/>
      <c r="L26" s="10"/>
      <c r="M26" s="10"/>
      <c r="N26" s="10"/>
    </row>
    <row r="27" spans="1:14" x14ac:dyDescent="0.2">
      <c r="A27" s="16" t="str">
        <f t="shared" si="0"/>
        <v/>
      </c>
      <c r="B27" s="13"/>
      <c r="C27" s="14"/>
      <c r="D27" s="14"/>
      <c r="E27" s="40" t="str">
        <f>IF(B27="","",IF(D27="D3",IF(C27="Team",'📋 PRICING REFERENCE'!D13,IF(C27="Department",'📋 PRICING REFERENCE'!D14,IF(C27="Company",'📋 PRICING REFERENCE'!D15,""))),IF(C27="Team",'📋 PRICING REFERENCE'!C13,IF(C27="Department",'📋 PRICING REFERENCE'!C14,IF(C27="Company",'📋 PRICING REFERENCE'!C15,"")))))</f>
        <v/>
      </c>
      <c r="F27" s="40" t="str">
        <f>IF(B27="","",IF(D27="D3",IF(C27="Team",'📋 PRICING REFERENCE'!E13,IF(C27="Department",'📋 PRICING REFERENCE'!E14,IF(C27="Company",'📋 PRICING REFERENCE'!E15,""))),"-"))</f>
        <v/>
      </c>
      <c r="G27" s="17" t="str">
        <f t="shared" si="1"/>
        <v/>
      </c>
      <c r="H27" s="48" t="str">
        <f t="shared" si="2"/>
        <v/>
      </c>
      <c r="I27" s="16" t="str">
        <f t="shared" si="3"/>
        <v/>
      </c>
      <c r="J27" s="48" t="str">
        <f t="shared" si="4"/>
        <v/>
      </c>
      <c r="K27" s="13"/>
      <c r="L27" s="10"/>
      <c r="M27" s="10"/>
      <c r="N27" s="10"/>
    </row>
    <row r="28" spans="1:14" x14ac:dyDescent="0.2">
      <c r="A28" s="54" t="str">
        <f t="shared" si="0"/>
        <v/>
      </c>
      <c r="B28" s="13"/>
      <c r="C28" s="14"/>
      <c r="D28" s="14"/>
      <c r="E28" s="43" t="str">
        <f>IF(B28="","",IF(D28="D3",IF(C28="Team",'📋 PRICING REFERENCE'!D14,IF(C28="Department",'📋 PRICING REFERENCE'!D15,IF(C28="Company",'📋 PRICING REFERENCE'!D16,""))),IF(C28="Team",'📋 PRICING REFERENCE'!C14,IF(C28="Department",'📋 PRICING REFERENCE'!C15,IF(C28="Company",'📋 PRICING REFERENCE'!C16,"")))))</f>
        <v/>
      </c>
      <c r="F28" s="43" t="str">
        <f>IF(B28="","",IF(D28="D3",IF(C28="Team",'📋 PRICING REFERENCE'!E14,IF(C28="Department",'📋 PRICING REFERENCE'!E15,IF(C28="Company",'📋 PRICING REFERENCE'!E16,""))),"-"))</f>
        <v/>
      </c>
      <c r="G28" s="65" t="str">
        <f t="shared" si="1"/>
        <v/>
      </c>
      <c r="H28" s="55" t="str">
        <f t="shared" si="2"/>
        <v/>
      </c>
      <c r="I28" s="54" t="str">
        <f t="shared" si="3"/>
        <v/>
      </c>
      <c r="J28" s="55" t="str">
        <f t="shared" si="4"/>
        <v/>
      </c>
      <c r="K28" s="13"/>
      <c r="L28" s="10"/>
      <c r="M28" s="10"/>
      <c r="N28" s="10"/>
    </row>
    <row r="29" spans="1:14" x14ac:dyDescent="0.2">
      <c r="A29" s="16" t="str">
        <f t="shared" si="0"/>
        <v/>
      </c>
      <c r="B29" s="13"/>
      <c r="C29" s="14"/>
      <c r="D29" s="14"/>
      <c r="E29" s="40" t="str">
        <f>IF(B29="","",IF(D29="D3",IF(C29="Team",'📋 PRICING REFERENCE'!D15,IF(C29="Department",'📋 PRICING REFERENCE'!D16,IF(C29="Company",'📋 PRICING REFERENCE'!D17,""))),IF(C29="Team",'📋 PRICING REFERENCE'!C15,IF(C29="Department",'📋 PRICING REFERENCE'!C16,IF(C29="Company",'📋 PRICING REFERENCE'!C17,"")))))</f>
        <v/>
      </c>
      <c r="F29" s="40" t="str">
        <f>IF(B29="","",IF(D29="D3",IF(C29="Team",'📋 PRICING REFERENCE'!E15,IF(C29="Department",'📋 PRICING REFERENCE'!E16,IF(C29="Company",'📋 PRICING REFERENCE'!E17,""))),"-"))</f>
        <v/>
      </c>
      <c r="G29" s="17" t="str">
        <f t="shared" si="1"/>
        <v/>
      </c>
      <c r="H29" s="48" t="str">
        <f t="shared" si="2"/>
        <v/>
      </c>
      <c r="I29" s="16" t="str">
        <f t="shared" si="3"/>
        <v/>
      </c>
      <c r="J29" s="48" t="str">
        <f t="shared" si="4"/>
        <v/>
      </c>
      <c r="K29" s="13"/>
      <c r="L29" s="10"/>
      <c r="M29" s="10"/>
      <c r="N29" s="10"/>
    </row>
    <row r="30" spans="1:14" x14ac:dyDescent="0.2">
      <c r="A30" s="54" t="str">
        <f t="shared" si="0"/>
        <v/>
      </c>
      <c r="B30" s="13"/>
      <c r="C30" s="14"/>
      <c r="D30" s="14"/>
      <c r="E30" s="43" t="str">
        <f>IF(B30="","",IF(D30="D3",IF(C30="Team",'📋 PRICING REFERENCE'!D16,IF(C30="Department",'📋 PRICING REFERENCE'!D17,IF(C30="Company",'📋 PRICING REFERENCE'!D18,""))),IF(C30="Team",'📋 PRICING REFERENCE'!C16,IF(C30="Department",'📋 PRICING REFERENCE'!C17,IF(C30="Company",'📋 PRICING REFERENCE'!C18,"")))))</f>
        <v/>
      </c>
      <c r="F30" s="43" t="str">
        <f>IF(B30="","",IF(D30="D3",IF(C30="Team",'📋 PRICING REFERENCE'!E16,IF(C30="Department",'📋 PRICING REFERENCE'!E17,IF(C30="Company",'📋 PRICING REFERENCE'!E18,""))),"-"))</f>
        <v/>
      </c>
      <c r="G30" s="65" t="str">
        <f t="shared" si="1"/>
        <v/>
      </c>
      <c r="H30" s="55" t="str">
        <f t="shared" si="2"/>
        <v/>
      </c>
      <c r="I30" s="54" t="str">
        <f t="shared" si="3"/>
        <v/>
      </c>
      <c r="J30" s="55" t="str">
        <f t="shared" si="4"/>
        <v/>
      </c>
      <c r="K30" s="13"/>
      <c r="L30" s="10"/>
      <c r="M30" s="10"/>
      <c r="N30" s="10"/>
    </row>
    <row r="31" spans="1:14" x14ac:dyDescent="0.2">
      <c r="A31" s="16" t="str">
        <f t="shared" si="0"/>
        <v/>
      </c>
      <c r="B31" s="13"/>
      <c r="C31" s="14"/>
      <c r="D31" s="14"/>
      <c r="E31" s="40" t="str">
        <f>IF(B31="","",IF(D31="D3",IF(C31="Team",'📋 PRICING REFERENCE'!D17,IF(C31="Department",'📋 PRICING REFERENCE'!D18,IF(C31="Company",'📋 PRICING REFERENCE'!D19,""))),IF(C31="Team",'📋 PRICING REFERENCE'!C17,IF(C31="Department",'📋 PRICING REFERENCE'!C18,IF(C31="Company",'📋 PRICING REFERENCE'!C19,"")))))</f>
        <v/>
      </c>
      <c r="F31" s="40" t="str">
        <f>IF(B31="","",IF(D31="D3",IF(C31="Team",'📋 PRICING REFERENCE'!E17,IF(C31="Department",'📋 PRICING REFERENCE'!E18,IF(C31="Company",'📋 PRICING REFERENCE'!E19,""))),"-"))</f>
        <v/>
      </c>
      <c r="G31" s="17" t="str">
        <f t="shared" si="1"/>
        <v/>
      </c>
      <c r="H31" s="48" t="str">
        <f t="shared" si="2"/>
        <v/>
      </c>
      <c r="I31" s="16" t="str">
        <f t="shared" si="3"/>
        <v/>
      </c>
      <c r="J31" s="48" t="str">
        <f t="shared" si="4"/>
        <v/>
      </c>
      <c r="K31" s="13"/>
      <c r="L31" s="10"/>
      <c r="M31" s="10"/>
      <c r="N31" s="10"/>
    </row>
    <row r="32" spans="1:14" x14ac:dyDescent="0.2">
      <c r="A32" s="54" t="str">
        <f t="shared" si="0"/>
        <v/>
      </c>
      <c r="B32" s="13"/>
      <c r="C32" s="14"/>
      <c r="D32" s="14"/>
      <c r="E32" s="43" t="str">
        <f>IF(B32="","",IF(D32="D3",IF(C32="Team",'📋 PRICING REFERENCE'!D18,IF(C32="Department",'📋 PRICING REFERENCE'!D19,IF(C32="Company",'📋 PRICING REFERENCE'!D20,""))),IF(C32="Team",'📋 PRICING REFERENCE'!C18,IF(C32="Department",'📋 PRICING REFERENCE'!C19,IF(C32="Company",'📋 PRICING REFERENCE'!C20,"")))))</f>
        <v/>
      </c>
      <c r="F32" s="43" t="str">
        <f>IF(B32="","",IF(D32="D3",IF(C32="Team",'📋 PRICING REFERENCE'!E18,IF(C32="Department",'📋 PRICING REFERENCE'!E19,IF(C32="Company",'📋 PRICING REFERENCE'!E20,""))),"-"))</f>
        <v/>
      </c>
      <c r="G32" s="65" t="str">
        <f t="shared" si="1"/>
        <v/>
      </c>
      <c r="H32" s="55" t="str">
        <f t="shared" si="2"/>
        <v/>
      </c>
      <c r="I32" s="54" t="str">
        <f t="shared" si="3"/>
        <v/>
      </c>
      <c r="J32" s="55" t="str">
        <f t="shared" si="4"/>
        <v/>
      </c>
      <c r="K32" s="13"/>
      <c r="L32" s="10"/>
      <c r="M32" s="10"/>
      <c r="N32" s="10"/>
    </row>
    <row r="33" spans="1:14" x14ac:dyDescent="0.2">
      <c r="A33" s="16" t="str">
        <f t="shared" si="0"/>
        <v/>
      </c>
      <c r="B33" s="13"/>
      <c r="C33" s="14"/>
      <c r="D33" s="14"/>
      <c r="E33" s="40" t="str">
        <f>IF(B33="","",IF(D33="D3",IF(C33="Team",'📋 PRICING REFERENCE'!D19,IF(C33="Department",'📋 PRICING REFERENCE'!D20,IF(C33="Company",'📋 PRICING REFERENCE'!D21,""))),IF(C33="Team",'📋 PRICING REFERENCE'!C19,IF(C33="Department",'📋 PRICING REFERENCE'!C20,IF(C33="Company",'📋 PRICING REFERENCE'!C21,"")))))</f>
        <v/>
      </c>
      <c r="F33" s="40" t="str">
        <f>IF(B33="","",IF(D33="D3",IF(C33="Team",'📋 PRICING REFERENCE'!E19,IF(C33="Department",'📋 PRICING REFERENCE'!E20,IF(C33="Company",'📋 PRICING REFERENCE'!E21,""))),"-"))</f>
        <v/>
      </c>
      <c r="G33" s="17" t="str">
        <f t="shared" si="1"/>
        <v/>
      </c>
      <c r="H33" s="48" t="str">
        <f t="shared" si="2"/>
        <v/>
      </c>
      <c r="I33" s="16" t="str">
        <f t="shared" si="3"/>
        <v/>
      </c>
      <c r="J33" s="48" t="str">
        <f t="shared" si="4"/>
        <v/>
      </c>
      <c r="K33" s="13"/>
      <c r="L33" s="10"/>
      <c r="M33" s="10"/>
      <c r="N33" s="10"/>
    </row>
    <row r="34" spans="1:14" x14ac:dyDescent="0.2">
      <c r="A34" s="54" t="str">
        <f t="shared" si="0"/>
        <v/>
      </c>
      <c r="B34" s="13"/>
      <c r="C34" s="14"/>
      <c r="D34" s="14"/>
      <c r="E34" s="43" t="str">
        <f>IF(B34="","",IF(D34="D3",IF(C34="Team",'📋 PRICING REFERENCE'!D20,IF(C34="Department",'📋 PRICING REFERENCE'!D21,IF(C34="Company",'📋 PRICING REFERENCE'!D22,""))),IF(C34="Team",'📋 PRICING REFERENCE'!C20,IF(C34="Department",'📋 PRICING REFERENCE'!C21,IF(C34="Company",'📋 PRICING REFERENCE'!C22,"")))))</f>
        <v/>
      </c>
      <c r="F34" s="43" t="str">
        <f>IF(B34="","",IF(D34="D3",IF(C34="Team",'📋 PRICING REFERENCE'!E20,IF(C34="Department",'📋 PRICING REFERENCE'!E21,IF(C34="Company",'📋 PRICING REFERENCE'!E22,""))),"-"))</f>
        <v/>
      </c>
      <c r="G34" s="65" t="str">
        <f t="shared" si="1"/>
        <v/>
      </c>
      <c r="H34" s="55" t="str">
        <f t="shared" si="2"/>
        <v/>
      </c>
      <c r="I34" s="54" t="str">
        <f t="shared" si="3"/>
        <v/>
      </c>
      <c r="J34" s="55" t="str">
        <f t="shared" si="4"/>
        <v/>
      </c>
      <c r="K34" s="13"/>
      <c r="L34" s="10"/>
      <c r="M34" s="10"/>
      <c r="N34" s="10"/>
    </row>
    <row r="35" spans="1:14" x14ac:dyDescent="0.2">
      <c r="A35" s="16" t="str">
        <f t="shared" si="0"/>
        <v/>
      </c>
      <c r="B35" s="13"/>
      <c r="C35" s="14"/>
      <c r="D35" s="14"/>
      <c r="E35" s="40" t="str">
        <f>IF(B35="","",IF(D35="D3",IF(C35="Team",'📋 PRICING REFERENCE'!D21,IF(C35="Department",'📋 PRICING REFERENCE'!D22,IF(C35="Company",'📋 PRICING REFERENCE'!D23,""))),IF(C35="Team",'📋 PRICING REFERENCE'!C21,IF(C35="Department",'📋 PRICING REFERENCE'!C22,IF(C35="Company",'📋 PRICING REFERENCE'!C23,"")))))</f>
        <v/>
      </c>
      <c r="F35" s="40" t="str">
        <f>IF(B35="","",IF(D35="D3",IF(C35="Team",'📋 PRICING REFERENCE'!E21,IF(C35="Department",'📋 PRICING REFERENCE'!E22,IF(C35="Company",'📋 PRICING REFERENCE'!E23,""))),"-"))</f>
        <v/>
      </c>
      <c r="G35" s="17" t="str">
        <f t="shared" si="1"/>
        <v/>
      </c>
      <c r="H35" s="48" t="str">
        <f t="shared" si="2"/>
        <v/>
      </c>
      <c r="I35" s="16" t="str">
        <f t="shared" si="3"/>
        <v/>
      </c>
      <c r="J35" s="48" t="str">
        <f t="shared" si="4"/>
        <v/>
      </c>
      <c r="K35" s="13"/>
      <c r="L35" s="10"/>
      <c r="M35" s="10"/>
      <c r="N35" s="10"/>
    </row>
    <row r="36" spans="1:14" x14ac:dyDescent="0.2">
      <c r="A36" s="54" t="str">
        <f t="shared" si="0"/>
        <v/>
      </c>
      <c r="B36" s="13"/>
      <c r="C36" s="14"/>
      <c r="D36" s="14"/>
      <c r="E36" s="43" t="str">
        <f>IF(B36="","",IF(D36="D3",IF(C36="Team",'📋 PRICING REFERENCE'!D22,IF(C36="Department",'📋 PRICING REFERENCE'!D23,IF(C36="Company",'📋 PRICING REFERENCE'!D24,""))),IF(C36="Team",'📋 PRICING REFERENCE'!C22,IF(C36="Department",'📋 PRICING REFERENCE'!C23,IF(C36="Company",'📋 PRICING REFERENCE'!C24,"")))))</f>
        <v/>
      </c>
      <c r="F36" s="43" t="str">
        <f>IF(B36="","",IF(D36="D3",IF(C36="Team",'📋 PRICING REFERENCE'!E22,IF(C36="Department",'📋 PRICING REFERENCE'!E23,IF(C36="Company",'📋 PRICING REFERENCE'!E24,""))),"-"))</f>
        <v/>
      </c>
      <c r="G36" s="65" t="str">
        <f t="shared" si="1"/>
        <v/>
      </c>
      <c r="H36" s="55" t="str">
        <f t="shared" si="2"/>
        <v/>
      </c>
      <c r="I36" s="54" t="str">
        <f t="shared" si="3"/>
        <v/>
      </c>
      <c r="J36" s="55" t="str">
        <f t="shared" si="4"/>
        <v/>
      </c>
      <c r="K36" s="13"/>
      <c r="L36" s="10"/>
      <c r="M36" s="10"/>
      <c r="N36" s="10"/>
    </row>
    <row r="37" spans="1:14" x14ac:dyDescent="0.2">
      <c r="A37" s="16" t="str">
        <f t="shared" si="0"/>
        <v/>
      </c>
      <c r="B37" s="13"/>
      <c r="C37" s="14"/>
      <c r="D37" s="14"/>
      <c r="E37" s="40" t="str">
        <f>IF(B37="","",IF(D37="D3",IF(C37="Team",'📋 PRICING REFERENCE'!D23,IF(C37="Department",'📋 PRICING REFERENCE'!D24,IF(C37="Company",'📋 PRICING REFERENCE'!D25,""))),IF(C37="Team",'📋 PRICING REFERENCE'!C23,IF(C37="Department",'📋 PRICING REFERENCE'!C24,IF(C37="Company",'📋 PRICING REFERENCE'!C25,"")))))</f>
        <v/>
      </c>
      <c r="F37" s="40" t="str">
        <f>IF(B37="","",IF(D37="D3",IF(C37="Team",'📋 PRICING REFERENCE'!E23,IF(C37="Department",'📋 PRICING REFERENCE'!E24,IF(C37="Company",'📋 PRICING REFERENCE'!E25,""))),"-"))</f>
        <v/>
      </c>
      <c r="G37" s="17" t="str">
        <f t="shared" si="1"/>
        <v/>
      </c>
      <c r="H37" s="48" t="str">
        <f t="shared" si="2"/>
        <v/>
      </c>
      <c r="I37" s="16" t="str">
        <f t="shared" si="3"/>
        <v/>
      </c>
      <c r="J37" s="48" t="str">
        <f t="shared" si="4"/>
        <v/>
      </c>
      <c r="K37" s="13"/>
      <c r="L37" s="10"/>
      <c r="M37" s="10"/>
      <c r="N37" s="10"/>
    </row>
    <row r="38" spans="1:14" x14ac:dyDescent="0.2">
      <c r="A38" s="54" t="str">
        <f t="shared" si="0"/>
        <v/>
      </c>
      <c r="B38" s="13"/>
      <c r="C38" s="14"/>
      <c r="D38" s="14"/>
      <c r="E38" s="43" t="str">
        <f>IF(B38="","",IF(D38="D3",IF(C38="Team",'📋 PRICING REFERENCE'!D24,IF(C38="Department",'📋 PRICING REFERENCE'!D25,IF(C38="Company",'📋 PRICING REFERENCE'!D26,""))),IF(C38="Team",'📋 PRICING REFERENCE'!C24,IF(C38="Department",'📋 PRICING REFERENCE'!C25,IF(C38="Company",'📋 PRICING REFERENCE'!C26,"")))))</f>
        <v/>
      </c>
      <c r="F38" s="43" t="str">
        <f>IF(B38="","",IF(D38="D3",IF(C38="Team",'📋 PRICING REFERENCE'!E24,IF(C38="Department",'📋 PRICING REFERENCE'!E25,IF(C38="Company",'📋 PRICING REFERENCE'!E26,""))),"-"))</f>
        <v/>
      </c>
      <c r="G38" s="65" t="str">
        <f t="shared" si="1"/>
        <v/>
      </c>
      <c r="H38" s="55" t="str">
        <f t="shared" si="2"/>
        <v/>
      </c>
      <c r="I38" s="54" t="str">
        <f t="shared" si="3"/>
        <v/>
      </c>
      <c r="J38" s="55" t="str">
        <f t="shared" si="4"/>
        <v/>
      </c>
      <c r="K38" s="13"/>
      <c r="L38" s="10"/>
      <c r="M38" s="10"/>
      <c r="N38" s="10"/>
    </row>
    <row r="39" spans="1:14" x14ac:dyDescent="0.2">
      <c r="A39" s="16" t="str">
        <f t="shared" si="0"/>
        <v/>
      </c>
      <c r="B39" s="13"/>
      <c r="C39" s="14"/>
      <c r="D39" s="14"/>
      <c r="E39" s="40" t="str">
        <f>IF(B39="","",IF(D39="D3",IF(C39="Team",'📋 PRICING REFERENCE'!D25,IF(C39="Department",'📋 PRICING REFERENCE'!D26,IF(C39="Company",'📋 PRICING REFERENCE'!D27,""))),IF(C39="Team",'📋 PRICING REFERENCE'!C25,IF(C39="Department",'📋 PRICING REFERENCE'!C26,IF(C39="Company",'📋 PRICING REFERENCE'!C27,"")))))</f>
        <v/>
      </c>
      <c r="F39" s="40" t="str">
        <f>IF(B39="","",IF(D39="D3",IF(C39="Team",'📋 PRICING REFERENCE'!E25,IF(C39="Department",'📋 PRICING REFERENCE'!E26,IF(C39="Company",'📋 PRICING REFERENCE'!E27,""))),"-"))</f>
        <v/>
      </c>
      <c r="G39" s="17" t="str">
        <f t="shared" si="1"/>
        <v/>
      </c>
      <c r="H39" s="48" t="str">
        <f t="shared" si="2"/>
        <v/>
      </c>
      <c r="I39" s="16" t="str">
        <f t="shared" si="3"/>
        <v/>
      </c>
      <c r="J39" s="48" t="str">
        <f t="shared" si="4"/>
        <v/>
      </c>
      <c r="K39" s="13"/>
      <c r="L39" s="10"/>
      <c r="M39" s="10"/>
      <c r="N39" s="10"/>
    </row>
    <row r="40" spans="1:14" x14ac:dyDescent="0.2">
      <c r="A40" s="10"/>
      <c r="B40" s="10"/>
      <c r="C40" s="10"/>
      <c r="D40" s="10"/>
      <c r="E40" s="10"/>
      <c r="F40" s="10"/>
      <c r="G40" s="10"/>
      <c r="H40" s="10"/>
      <c r="I40" s="10"/>
      <c r="J40" s="10"/>
      <c r="K40" s="10"/>
      <c r="L40" s="10"/>
      <c r="M40" s="10"/>
      <c r="N40" s="10"/>
    </row>
    <row r="41" spans="1:14" x14ac:dyDescent="0.2">
      <c r="A41" s="10"/>
      <c r="B41" s="6" t="s">
        <v>136</v>
      </c>
      <c r="C41" s="10"/>
      <c r="D41" s="10"/>
      <c r="E41" s="10"/>
      <c r="F41" s="10"/>
      <c r="G41" s="10"/>
      <c r="H41" s="10"/>
      <c r="I41" s="10"/>
      <c r="J41" s="10"/>
      <c r="K41" s="10"/>
      <c r="L41" s="10"/>
      <c r="M41" s="10"/>
      <c r="N41" s="10"/>
    </row>
    <row r="42" spans="1:14" x14ac:dyDescent="0.2">
      <c r="A42" s="10"/>
      <c r="B42" s="9" t="s">
        <v>128</v>
      </c>
      <c r="C42" s="9" t="s">
        <v>137</v>
      </c>
      <c r="D42" s="9" t="s">
        <v>138</v>
      </c>
      <c r="E42" s="9" t="s">
        <v>139</v>
      </c>
      <c r="F42" s="9" t="s">
        <v>140</v>
      </c>
      <c r="G42" s="10"/>
      <c r="H42" s="10"/>
      <c r="I42" s="10"/>
      <c r="J42" s="10"/>
      <c r="K42" s="10"/>
      <c r="L42" s="10"/>
      <c r="M42" s="10"/>
      <c r="N42" s="10"/>
    </row>
    <row r="43" spans="1:14" x14ac:dyDescent="0.2">
      <c r="A43" s="10"/>
      <c r="B43" s="29" t="s">
        <v>42</v>
      </c>
      <c r="C43" s="10" t="s">
        <v>141</v>
      </c>
      <c r="D43" s="66">
        <f>COUNTIF(D20:D39,"D1")</f>
        <v>0</v>
      </c>
      <c r="E43" s="48" cm="1">
        <f t="array" ref="E43">SUMPRODUCT((D20:D39="D1")*IF(ISNUMBER(H20:H39),H20:H39,0))</f>
        <v>0</v>
      </c>
      <c r="F43" s="48" cm="1">
        <f t="array" ref="F43">SUMPRODUCT((D20:D39="D1")*IF(ISNUMBER(J20:J39),J20:J39,0))</f>
        <v>0</v>
      </c>
      <c r="G43" s="10"/>
      <c r="H43" s="10"/>
      <c r="I43" s="10"/>
      <c r="J43" s="10"/>
      <c r="K43" s="10"/>
      <c r="L43" s="10"/>
      <c r="M43" s="10"/>
      <c r="N43" s="10"/>
    </row>
    <row r="44" spans="1:14" x14ac:dyDescent="0.2">
      <c r="A44" s="10"/>
      <c r="B44" s="29" t="s">
        <v>48</v>
      </c>
      <c r="C44" s="10" t="s">
        <v>142</v>
      </c>
      <c r="D44" s="66">
        <f>COUNTIF(D20:D39,"D2")</f>
        <v>0</v>
      </c>
      <c r="E44" s="48" cm="1">
        <f t="array" ref="E44">SUMPRODUCT((D20:D39="D2")*IF(ISNUMBER(H20:H39),H20:H39,0))</f>
        <v>0</v>
      </c>
      <c r="F44" s="48" cm="1">
        <f t="array" ref="F44">SUMPRODUCT((D20:D39="D2")*IF(ISNUMBER(J20:J39),J20:J39,0))</f>
        <v>0</v>
      </c>
      <c r="G44" s="10"/>
      <c r="H44" s="10"/>
      <c r="I44" s="10"/>
      <c r="J44" s="10"/>
      <c r="K44" s="10"/>
      <c r="L44" s="10"/>
      <c r="M44" s="10"/>
      <c r="N44" s="10"/>
    </row>
    <row r="45" spans="1:14" x14ac:dyDescent="0.2">
      <c r="A45" s="10"/>
      <c r="B45" s="29" t="s">
        <v>53</v>
      </c>
      <c r="C45" s="10" t="s">
        <v>143</v>
      </c>
      <c r="D45" s="66">
        <f>COUNTIF(D20:D39,"D3")</f>
        <v>0</v>
      </c>
      <c r="E45" s="48" cm="1">
        <f t="array" ref="E45">SUMPRODUCT((D20:D39="D3")*IF(ISNUMBER(H20:H39),H20:H39,0))</f>
        <v>0</v>
      </c>
      <c r="F45" s="48" cm="1">
        <f t="array" ref="F45">SUMPRODUCT((D20:D39="D3")*IF(ISNUMBER(J20:J39),J20:J39,0))</f>
        <v>0</v>
      </c>
      <c r="G45" s="10"/>
      <c r="H45" s="10"/>
      <c r="I45" s="10"/>
      <c r="J45" s="10"/>
      <c r="K45" s="10"/>
      <c r="L45" s="10"/>
      <c r="M45" s="10"/>
      <c r="N45" s="10"/>
    </row>
    <row r="46" spans="1:14" x14ac:dyDescent="0.2">
      <c r="A46" s="10"/>
      <c r="B46" s="10"/>
      <c r="C46" s="10"/>
      <c r="D46" s="10"/>
      <c r="E46" s="10"/>
      <c r="F46" s="10"/>
      <c r="G46" s="10"/>
      <c r="H46" s="10"/>
      <c r="I46" s="10"/>
      <c r="J46" s="10"/>
      <c r="K46" s="10"/>
      <c r="L46" s="10"/>
      <c r="M46" s="10"/>
      <c r="N46" s="10"/>
    </row>
    <row r="47" spans="1:14" x14ac:dyDescent="0.2">
      <c r="A47" s="10"/>
      <c r="B47" s="10"/>
      <c r="C47" s="10"/>
      <c r="D47" s="10"/>
      <c r="E47" s="10"/>
      <c r="F47" s="10"/>
      <c r="G47" s="10"/>
      <c r="H47" s="10"/>
      <c r="I47" s="10"/>
      <c r="J47" s="10"/>
      <c r="K47" s="10"/>
      <c r="L47" s="10"/>
      <c r="M47" s="10"/>
      <c r="N47" s="10"/>
    </row>
    <row r="48" spans="1:14" x14ac:dyDescent="0.2">
      <c r="A48" s="10"/>
      <c r="B48" s="8" t="s">
        <v>144</v>
      </c>
      <c r="C48" s="10"/>
      <c r="D48" s="10"/>
      <c r="E48" s="10"/>
      <c r="F48" s="47">
        <f>SUM(F43:F45)</f>
        <v>0</v>
      </c>
      <c r="G48" s="10"/>
      <c r="H48" s="10"/>
      <c r="I48" s="10"/>
      <c r="J48" s="10"/>
      <c r="K48" s="10"/>
      <c r="L48" s="10"/>
      <c r="M48" s="10"/>
      <c r="N48" s="10"/>
    </row>
    <row r="49" spans="1:14" x14ac:dyDescent="0.2">
      <c r="A49" s="10"/>
      <c r="B49" s="10"/>
      <c r="C49" s="10"/>
      <c r="D49" s="10"/>
      <c r="E49" s="10"/>
      <c r="F49" s="10"/>
      <c r="G49" s="10"/>
      <c r="H49" s="10"/>
      <c r="I49" s="10"/>
      <c r="J49" s="10"/>
      <c r="K49" s="10"/>
      <c r="L49" s="10"/>
      <c r="M49" s="10"/>
      <c r="N49" s="10"/>
    </row>
    <row r="50" spans="1:14" x14ac:dyDescent="0.2">
      <c r="A50" s="6" t="s">
        <v>84</v>
      </c>
      <c r="B50" s="10"/>
      <c r="C50" s="10"/>
      <c r="D50" s="10"/>
      <c r="E50" s="10"/>
      <c r="F50" s="10"/>
      <c r="G50" s="10"/>
      <c r="H50" s="10"/>
      <c r="I50" s="10"/>
      <c r="J50" s="10"/>
      <c r="K50" s="10"/>
      <c r="L50" s="10"/>
      <c r="M50" s="10"/>
      <c r="N50" s="10"/>
    </row>
    <row r="51" spans="1:14" x14ac:dyDescent="0.2">
      <c r="A51" s="9"/>
      <c r="B51" s="9" t="s">
        <v>85</v>
      </c>
      <c r="C51" s="9" t="s">
        <v>86</v>
      </c>
      <c r="D51" s="9" t="s">
        <v>87</v>
      </c>
      <c r="E51" s="9" t="s">
        <v>88</v>
      </c>
      <c r="F51" s="9" t="s">
        <v>89</v>
      </c>
      <c r="G51" s="9" t="s">
        <v>90</v>
      </c>
      <c r="H51" s="9" t="s">
        <v>91</v>
      </c>
      <c r="I51" s="9" t="s">
        <v>92</v>
      </c>
      <c r="J51" s="9" t="s">
        <v>93</v>
      </c>
      <c r="K51" s="9" t="s">
        <v>94</v>
      </c>
      <c r="L51" s="9" t="s">
        <v>95</v>
      </c>
      <c r="M51" s="9" t="s">
        <v>96</v>
      </c>
      <c r="N51" s="9" t="s">
        <v>97</v>
      </c>
    </row>
    <row r="52" spans="1:14" x14ac:dyDescent="0.2">
      <c r="A52" s="11" t="s">
        <v>42</v>
      </c>
      <c r="B52" s="48">
        <f>E43</f>
        <v>0</v>
      </c>
      <c r="C52" s="48">
        <f>E43</f>
        <v>0</v>
      </c>
      <c r="D52" s="48">
        <f>E43</f>
        <v>0</v>
      </c>
      <c r="E52" s="48">
        <f>E43</f>
        <v>0</v>
      </c>
      <c r="F52" s="48">
        <f>E43</f>
        <v>0</v>
      </c>
      <c r="G52" s="48">
        <f>E43</f>
        <v>0</v>
      </c>
      <c r="H52" s="48">
        <f>E43</f>
        <v>0</v>
      </c>
      <c r="I52" s="48">
        <f>E43</f>
        <v>0</v>
      </c>
      <c r="J52" s="48">
        <f>E43</f>
        <v>0</v>
      </c>
      <c r="K52" s="48">
        <f>E43</f>
        <v>0</v>
      </c>
      <c r="L52" s="48">
        <f>E43</f>
        <v>0</v>
      </c>
      <c r="M52" s="48">
        <f>E43</f>
        <v>0</v>
      </c>
      <c r="N52" s="49">
        <f>SUM(B52:M52)</f>
        <v>0</v>
      </c>
    </row>
    <row r="53" spans="1:14" x14ac:dyDescent="0.2">
      <c r="A53" s="11" t="s">
        <v>48</v>
      </c>
      <c r="B53" s="48">
        <f>E44</f>
        <v>0</v>
      </c>
      <c r="C53" s="48">
        <f>E44</f>
        <v>0</v>
      </c>
      <c r="D53" s="48">
        <f>E44</f>
        <v>0</v>
      </c>
      <c r="E53" s="48">
        <f>E44</f>
        <v>0</v>
      </c>
      <c r="F53" s="48">
        <f>E44</f>
        <v>0</v>
      </c>
      <c r="G53" s="48">
        <f>E44</f>
        <v>0</v>
      </c>
      <c r="H53" s="48">
        <f>E44</f>
        <v>0</v>
      </c>
      <c r="I53" s="48">
        <f>E44</f>
        <v>0</v>
      </c>
      <c r="J53" s="48">
        <f>E44</f>
        <v>0</v>
      </c>
      <c r="K53" s="48">
        <f>E44</f>
        <v>0</v>
      </c>
      <c r="L53" s="48">
        <f>E44</f>
        <v>0</v>
      </c>
      <c r="M53" s="48">
        <f>E44</f>
        <v>0</v>
      </c>
      <c r="N53" s="49">
        <f>SUM(B53:M53)</f>
        <v>0</v>
      </c>
    </row>
    <row r="54" spans="1:14" x14ac:dyDescent="0.2">
      <c r="A54" s="11" t="s">
        <v>53</v>
      </c>
      <c r="B54" s="48">
        <f>E45</f>
        <v>0</v>
      </c>
      <c r="C54" s="48">
        <v>0</v>
      </c>
      <c r="D54" s="48">
        <v>0</v>
      </c>
      <c r="E54" s="48">
        <v>0</v>
      </c>
      <c r="F54" s="48">
        <v>0</v>
      </c>
      <c r="G54" s="48">
        <v>0</v>
      </c>
      <c r="H54" s="48">
        <v>0</v>
      </c>
      <c r="I54" s="48">
        <v>0</v>
      </c>
      <c r="J54" s="48">
        <v>0</v>
      </c>
      <c r="K54" s="48">
        <v>0</v>
      </c>
      <c r="L54" s="48">
        <v>0</v>
      </c>
      <c r="M54" s="48">
        <v>0</v>
      </c>
      <c r="N54" s="49">
        <f>SUM(B54:M54)</f>
        <v>0</v>
      </c>
    </row>
    <row r="55" spans="1:14" x14ac:dyDescent="0.2">
      <c r="A55" s="8" t="s">
        <v>97</v>
      </c>
      <c r="B55" s="47">
        <f t="shared" ref="B55:M55" si="5">SUM(B52:B54)</f>
        <v>0</v>
      </c>
      <c r="C55" s="47">
        <f t="shared" si="5"/>
        <v>0</v>
      </c>
      <c r="D55" s="47">
        <f t="shared" si="5"/>
        <v>0</v>
      </c>
      <c r="E55" s="47">
        <f t="shared" si="5"/>
        <v>0</v>
      </c>
      <c r="F55" s="47">
        <f t="shared" si="5"/>
        <v>0</v>
      </c>
      <c r="G55" s="47">
        <f t="shared" si="5"/>
        <v>0</v>
      </c>
      <c r="H55" s="47">
        <f t="shared" si="5"/>
        <v>0</v>
      </c>
      <c r="I55" s="47">
        <f t="shared" si="5"/>
        <v>0</v>
      </c>
      <c r="J55" s="47">
        <f t="shared" si="5"/>
        <v>0</v>
      </c>
      <c r="K55" s="47">
        <f t="shared" si="5"/>
        <v>0</v>
      </c>
      <c r="L55" s="47">
        <f t="shared" si="5"/>
        <v>0</v>
      </c>
      <c r="M55" s="47">
        <f t="shared" si="5"/>
        <v>0</v>
      </c>
      <c r="N55" s="47">
        <f>SUM(B55:M55)</f>
        <v>0</v>
      </c>
    </row>
    <row r="56" spans="1:14" x14ac:dyDescent="0.2">
      <c r="A56" s="10"/>
      <c r="B56" s="10"/>
      <c r="C56" s="10"/>
      <c r="D56" s="10"/>
      <c r="E56" s="10"/>
      <c r="F56" s="10"/>
      <c r="G56" s="10"/>
      <c r="H56" s="10"/>
      <c r="I56" s="10"/>
      <c r="J56" s="10"/>
      <c r="K56" s="10"/>
      <c r="L56" s="10"/>
      <c r="M56" s="10"/>
      <c r="N56" s="10"/>
    </row>
    <row r="57" spans="1:14" x14ac:dyDescent="0.2">
      <c r="A57" s="10"/>
      <c r="B57" s="10"/>
      <c r="C57" s="10"/>
      <c r="D57" s="10"/>
      <c r="E57" s="10"/>
      <c r="F57" s="10"/>
      <c r="G57" s="10"/>
      <c r="H57" s="10"/>
      <c r="I57" s="10"/>
      <c r="J57" s="10"/>
      <c r="K57" s="10"/>
      <c r="L57" s="10"/>
      <c r="M57" s="10"/>
      <c r="N57" s="10"/>
    </row>
    <row r="58" spans="1:14" x14ac:dyDescent="0.2">
      <c r="A58" s="10"/>
      <c r="B58" s="10"/>
      <c r="C58" s="10"/>
      <c r="D58" s="10"/>
      <c r="E58" s="10"/>
      <c r="F58" s="10"/>
      <c r="G58" s="10"/>
      <c r="H58" s="10"/>
      <c r="I58" s="10"/>
      <c r="J58" s="10"/>
      <c r="K58" s="10"/>
      <c r="L58" s="10"/>
      <c r="M58" s="10"/>
      <c r="N58" s="10"/>
    </row>
    <row r="59" spans="1:14" x14ac:dyDescent="0.2">
      <c r="A59" s="10"/>
      <c r="B59" s="10"/>
      <c r="C59" s="10"/>
      <c r="D59" s="10"/>
      <c r="E59" s="10"/>
      <c r="F59" s="10"/>
      <c r="G59" s="10"/>
      <c r="H59" s="10"/>
      <c r="I59" s="10"/>
      <c r="J59" s="10"/>
      <c r="K59" s="10"/>
      <c r="L59" s="10"/>
      <c r="M59" s="10"/>
      <c r="N59" s="10"/>
    </row>
    <row r="60" spans="1:14" x14ac:dyDescent="0.2">
      <c r="A60" s="10"/>
      <c r="B60" s="10"/>
      <c r="C60" s="10"/>
      <c r="D60" s="10"/>
      <c r="E60" s="10"/>
      <c r="F60" s="10"/>
      <c r="G60" s="10"/>
      <c r="H60" s="10"/>
      <c r="I60" s="10"/>
      <c r="J60" s="10"/>
      <c r="K60" s="10"/>
      <c r="L60" s="10"/>
      <c r="M60" s="10"/>
      <c r="N60" s="10"/>
    </row>
    <row r="61" spans="1:14" x14ac:dyDescent="0.2">
      <c r="A61" s="10"/>
      <c r="B61" s="10"/>
      <c r="C61" s="10"/>
      <c r="D61" s="10"/>
      <c r="E61" s="10"/>
      <c r="F61" s="10"/>
      <c r="G61" s="10"/>
      <c r="H61" s="10"/>
      <c r="I61" s="10"/>
      <c r="J61" s="10"/>
      <c r="K61" s="10"/>
      <c r="L61" s="10"/>
      <c r="M61" s="10"/>
      <c r="N61" s="10"/>
    </row>
    <row r="62" spans="1:14" x14ac:dyDescent="0.2">
      <c r="A62" s="10"/>
      <c r="B62" s="10"/>
      <c r="C62" s="10"/>
      <c r="D62" s="10"/>
      <c r="E62" s="10"/>
      <c r="F62" s="10"/>
      <c r="G62" s="10"/>
      <c r="H62" s="10"/>
      <c r="I62" s="10"/>
      <c r="J62" s="10"/>
      <c r="K62" s="10"/>
      <c r="L62" s="10"/>
      <c r="M62" s="10"/>
      <c r="N62" s="10"/>
    </row>
    <row r="63" spans="1:14" x14ac:dyDescent="0.2">
      <c r="A63" s="10"/>
      <c r="B63" s="10"/>
      <c r="C63" s="10"/>
      <c r="D63" s="10"/>
      <c r="E63" s="10"/>
      <c r="F63" s="10"/>
      <c r="G63" s="10"/>
      <c r="H63" s="10"/>
      <c r="I63" s="10"/>
      <c r="J63" s="10"/>
      <c r="K63" s="10"/>
      <c r="L63" s="10"/>
      <c r="M63" s="10"/>
      <c r="N63" s="10"/>
    </row>
    <row r="64" spans="1:14" x14ac:dyDescent="0.2">
      <c r="A64" s="10"/>
      <c r="B64" s="10"/>
      <c r="C64" s="10"/>
      <c r="D64" s="10"/>
      <c r="E64" s="10"/>
      <c r="F64" s="10"/>
      <c r="G64" s="10"/>
      <c r="H64" s="10"/>
      <c r="I64" s="10"/>
      <c r="J64" s="10"/>
      <c r="K64" s="10"/>
      <c r="L64" s="10"/>
      <c r="M64" s="10"/>
      <c r="N64" s="10"/>
    </row>
    <row r="65" spans="1:14" x14ac:dyDescent="0.2">
      <c r="A65" s="10"/>
      <c r="B65" s="10"/>
      <c r="C65" s="10"/>
      <c r="D65" s="10"/>
      <c r="E65" s="10"/>
      <c r="F65" s="10"/>
      <c r="G65" s="10"/>
      <c r="H65" s="10"/>
      <c r="I65" s="10"/>
      <c r="J65" s="10"/>
      <c r="K65" s="10"/>
      <c r="L65" s="10"/>
      <c r="M65" s="10"/>
      <c r="N65" s="10"/>
    </row>
    <row r="66" spans="1:14" x14ac:dyDescent="0.2">
      <c r="A66" s="10"/>
      <c r="B66" s="10"/>
      <c r="C66" s="10"/>
      <c r="D66" s="10"/>
      <c r="E66" s="10"/>
      <c r="F66" s="10"/>
      <c r="G66" s="10"/>
      <c r="H66" s="10"/>
      <c r="I66" s="10"/>
      <c r="J66" s="10"/>
      <c r="K66" s="10"/>
      <c r="L66" s="10"/>
      <c r="M66" s="10"/>
      <c r="N66" s="10"/>
    </row>
    <row r="67" spans="1:14" x14ac:dyDescent="0.2">
      <c r="A67" s="10"/>
      <c r="B67" s="10"/>
      <c r="C67" s="10"/>
      <c r="D67" s="10"/>
      <c r="E67" s="10"/>
      <c r="F67" s="10"/>
      <c r="G67" s="10"/>
      <c r="H67" s="10"/>
      <c r="I67" s="10"/>
      <c r="J67" s="10"/>
      <c r="K67" s="10"/>
      <c r="L67" s="10"/>
      <c r="M67" s="10"/>
      <c r="N67" s="10"/>
    </row>
    <row r="68" spans="1:14" x14ac:dyDescent="0.2">
      <c r="A68" s="10"/>
      <c r="B68" s="10"/>
      <c r="C68" s="10"/>
      <c r="D68" s="10"/>
      <c r="E68" s="10"/>
      <c r="F68" s="10"/>
      <c r="G68" s="10"/>
      <c r="H68" s="10"/>
      <c r="I68" s="10"/>
      <c r="J68" s="10"/>
      <c r="K68" s="10"/>
      <c r="L68" s="10"/>
      <c r="M68" s="10"/>
      <c r="N68" s="10"/>
    </row>
    <row r="69" spans="1:14" x14ac:dyDescent="0.2">
      <c r="A69" s="10"/>
      <c r="B69" s="10"/>
      <c r="C69" s="10"/>
      <c r="D69" s="10"/>
      <c r="E69" s="10"/>
      <c r="F69" s="10"/>
      <c r="G69" s="10"/>
      <c r="H69" s="10"/>
      <c r="I69" s="10"/>
      <c r="J69" s="10"/>
      <c r="K69" s="10"/>
      <c r="L69" s="10"/>
      <c r="M69" s="10"/>
      <c r="N69" s="10"/>
    </row>
    <row r="70" spans="1:14" x14ac:dyDescent="0.2">
      <c r="A70" s="10"/>
      <c r="B70" s="10"/>
      <c r="C70" s="10"/>
      <c r="D70" s="10"/>
      <c r="E70" s="10"/>
      <c r="F70" s="10"/>
      <c r="G70" s="10"/>
      <c r="H70" s="10"/>
      <c r="I70" s="10"/>
      <c r="J70" s="10"/>
      <c r="K70" s="10"/>
      <c r="L70" s="10"/>
      <c r="M70" s="10"/>
      <c r="N70" s="10"/>
    </row>
    <row r="71" spans="1:14" x14ac:dyDescent="0.2">
      <c r="A71" s="10"/>
      <c r="B71" s="10"/>
      <c r="C71" s="10"/>
      <c r="D71" s="10"/>
      <c r="E71" s="10"/>
      <c r="F71" s="10"/>
      <c r="G71" s="10"/>
      <c r="H71" s="10"/>
      <c r="I71" s="10"/>
      <c r="J71" s="10"/>
      <c r="K71" s="10"/>
      <c r="L71" s="10"/>
      <c r="M71" s="10"/>
      <c r="N71" s="10"/>
    </row>
    <row r="72" spans="1:14" x14ac:dyDescent="0.2">
      <c r="A72" s="10"/>
      <c r="B72" s="10"/>
      <c r="C72" s="10"/>
      <c r="D72" s="10"/>
      <c r="E72" s="10"/>
      <c r="F72" s="10"/>
      <c r="G72" s="10"/>
      <c r="H72" s="10"/>
      <c r="I72" s="10"/>
      <c r="J72" s="10"/>
      <c r="K72" s="10"/>
      <c r="L72" s="10"/>
      <c r="M72" s="10"/>
      <c r="N72" s="10"/>
    </row>
    <row r="73" spans="1:14" x14ac:dyDescent="0.2">
      <c r="A73" s="10"/>
      <c r="B73" s="10"/>
      <c r="C73" s="10"/>
      <c r="D73" s="10"/>
      <c r="E73" s="10"/>
      <c r="F73" s="10"/>
      <c r="G73" s="10"/>
      <c r="H73" s="10"/>
      <c r="I73" s="10"/>
      <c r="J73" s="10"/>
      <c r="K73" s="10"/>
      <c r="L73" s="10"/>
      <c r="M73" s="10"/>
      <c r="N73" s="10"/>
    </row>
    <row r="74" spans="1:14" x14ac:dyDescent="0.2">
      <c r="A74" s="10"/>
      <c r="B74" s="10"/>
      <c r="C74" s="10"/>
      <c r="D74" s="10"/>
      <c r="E74" s="10"/>
      <c r="F74" s="10"/>
      <c r="G74" s="10"/>
      <c r="H74" s="10"/>
      <c r="I74" s="10"/>
      <c r="J74" s="10"/>
      <c r="K74" s="10"/>
      <c r="L74" s="10"/>
      <c r="M74" s="10"/>
      <c r="N74" s="10"/>
    </row>
    <row r="75" spans="1:14" x14ac:dyDescent="0.2">
      <c r="A75" s="10"/>
      <c r="B75" s="10"/>
      <c r="C75" s="10"/>
      <c r="D75" s="10"/>
      <c r="E75" s="10"/>
      <c r="F75" s="10"/>
      <c r="G75" s="10"/>
      <c r="H75" s="10"/>
      <c r="I75" s="10"/>
      <c r="J75" s="10"/>
      <c r="K75" s="10"/>
      <c r="L75" s="10"/>
      <c r="M75" s="10"/>
      <c r="N75" s="10"/>
    </row>
    <row r="76" spans="1:14" x14ac:dyDescent="0.2">
      <c r="A76" s="10"/>
      <c r="B76" s="10"/>
      <c r="C76" s="10"/>
      <c r="D76" s="10"/>
      <c r="E76" s="10"/>
      <c r="F76" s="10"/>
      <c r="G76" s="10"/>
      <c r="H76" s="10"/>
      <c r="I76" s="10"/>
      <c r="J76" s="10"/>
      <c r="K76" s="10"/>
      <c r="L76" s="10"/>
      <c r="M76" s="10"/>
      <c r="N76" s="10"/>
    </row>
    <row r="77" spans="1:14" x14ac:dyDescent="0.2">
      <c r="A77" s="10"/>
      <c r="B77" s="10"/>
      <c r="C77" s="10"/>
      <c r="D77" s="10"/>
      <c r="E77" s="10"/>
      <c r="F77" s="10"/>
      <c r="G77" s="10"/>
      <c r="H77" s="10"/>
      <c r="I77" s="10"/>
      <c r="J77" s="10"/>
      <c r="K77" s="10"/>
      <c r="L77" s="10"/>
      <c r="M77" s="10"/>
      <c r="N77" s="10"/>
    </row>
    <row r="78" spans="1:14" x14ac:dyDescent="0.2">
      <c r="A78" s="10"/>
      <c r="B78" s="10"/>
      <c r="C78" s="10"/>
      <c r="D78" s="10"/>
      <c r="E78" s="10"/>
      <c r="F78" s="10"/>
      <c r="G78" s="10"/>
      <c r="H78" s="10"/>
      <c r="I78" s="10"/>
      <c r="J78" s="10"/>
      <c r="K78" s="10"/>
      <c r="L78" s="10"/>
      <c r="M78" s="10"/>
      <c r="N78" s="10"/>
    </row>
    <row r="79" spans="1:14" x14ac:dyDescent="0.2">
      <c r="A79" s="10"/>
      <c r="B79" s="10"/>
      <c r="C79" s="10"/>
      <c r="D79" s="10"/>
      <c r="E79" s="10"/>
      <c r="F79" s="10"/>
      <c r="G79" s="10"/>
      <c r="H79" s="10"/>
      <c r="I79" s="10"/>
      <c r="J79" s="10"/>
      <c r="K79" s="10"/>
      <c r="L79" s="10"/>
      <c r="M79" s="10"/>
      <c r="N79" s="10"/>
    </row>
    <row r="80" spans="1:14" x14ac:dyDescent="0.2">
      <c r="A80" s="10"/>
      <c r="B80" s="10"/>
      <c r="C80" s="10"/>
      <c r="D80" s="10"/>
      <c r="E80" s="10"/>
      <c r="F80" s="10"/>
      <c r="G80" s="10"/>
      <c r="H80" s="10"/>
      <c r="I80" s="10"/>
      <c r="J80" s="10"/>
      <c r="K80" s="10"/>
      <c r="L80" s="10"/>
      <c r="M80" s="10"/>
      <c r="N80" s="10"/>
    </row>
    <row r="81" spans="1:14" x14ac:dyDescent="0.2">
      <c r="A81" s="10"/>
      <c r="B81" s="10"/>
      <c r="C81" s="10"/>
      <c r="D81" s="10"/>
      <c r="E81" s="10"/>
      <c r="F81" s="10"/>
      <c r="G81" s="10"/>
      <c r="H81" s="10"/>
      <c r="I81" s="10"/>
      <c r="J81" s="10"/>
      <c r="K81" s="10"/>
      <c r="L81" s="10"/>
      <c r="M81" s="10"/>
      <c r="N81" s="10"/>
    </row>
    <row r="82" spans="1:14" x14ac:dyDescent="0.2">
      <c r="A82" s="10"/>
      <c r="B82" s="10"/>
      <c r="C82" s="10"/>
      <c r="D82" s="10"/>
      <c r="E82" s="10"/>
      <c r="F82" s="10"/>
      <c r="G82" s="10"/>
      <c r="H82" s="10"/>
      <c r="I82" s="10"/>
      <c r="J82" s="10"/>
      <c r="K82" s="10"/>
      <c r="L82" s="10"/>
      <c r="M82" s="10"/>
      <c r="N82" s="10"/>
    </row>
    <row r="83" spans="1:14" x14ac:dyDescent="0.2">
      <c r="A83" s="10"/>
      <c r="B83" s="10"/>
      <c r="C83" s="10"/>
      <c r="D83" s="10"/>
      <c r="E83" s="10"/>
      <c r="F83" s="10"/>
      <c r="G83" s="10"/>
      <c r="H83" s="10"/>
      <c r="I83" s="10"/>
      <c r="J83" s="10"/>
      <c r="K83" s="10"/>
      <c r="L83" s="10"/>
      <c r="M83" s="10"/>
      <c r="N83" s="10"/>
    </row>
    <row r="84" spans="1:14" x14ac:dyDescent="0.2">
      <c r="A84" s="10"/>
      <c r="B84" s="10"/>
      <c r="C84" s="10"/>
      <c r="D84" s="10"/>
      <c r="E84" s="10"/>
      <c r="F84" s="10"/>
      <c r="G84" s="10"/>
      <c r="H84" s="10"/>
      <c r="I84" s="10"/>
      <c r="J84" s="10"/>
      <c r="K84" s="10"/>
      <c r="L84" s="10"/>
      <c r="M84" s="10"/>
      <c r="N84" s="10"/>
    </row>
    <row r="85" spans="1:14" x14ac:dyDescent="0.2">
      <c r="A85" s="10"/>
      <c r="B85" s="10"/>
      <c r="C85" s="10"/>
      <c r="D85" s="10"/>
      <c r="E85" s="10"/>
      <c r="F85" s="10"/>
      <c r="G85" s="10"/>
      <c r="H85" s="10"/>
      <c r="I85" s="10"/>
      <c r="J85" s="10"/>
      <c r="K85" s="10"/>
      <c r="L85" s="10"/>
      <c r="M85" s="10"/>
      <c r="N85" s="10"/>
    </row>
    <row r="86" spans="1:14" x14ac:dyDescent="0.2">
      <c r="A86" s="10"/>
      <c r="B86" s="10"/>
      <c r="C86" s="10"/>
      <c r="D86" s="10"/>
      <c r="E86" s="10"/>
      <c r="F86" s="10"/>
      <c r="G86" s="10"/>
      <c r="H86" s="10"/>
      <c r="I86" s="10"/>
      <c r="J86" s="10"/>
      <c r="K86" s="10"/>
      <c r="L86" s="10"/>
      <c r="M86" s="10"/>
      <c r="N86" s="10"/>
    </row>
    <row r="87" spans="1:14" x14ac:dyDescent="0.2">
      <c r="A87" s="10"/>
      <c r="B87" s="10"/>
      <c r="C87" s="10"/>
      <c r="D87" s="10"/>
      <c r="E87" s="10"/>
      <c r="F87" s="10"/>
      <c r="G87" s="10"/>
      <c r="H87" s="10"/>
      <c r="I87" s="10"/>
      <c r="J87" s="10"/>
      <c r="K87" s="10"/>
      <c r="L87" s="10"/>
      <c r="M87" s="10"/>
      <c r="N87" s="10"/>
    </row>
    <row r="88" spans="1:14" x14ac:dyDescent="0.2">
      <c r="A88" s="10"/>
      <c r="B88" s="10"/>
      <c r="C88" s="10"/>
      <c r="D88" s="10"/>
      <c r="E88" s="10"/>
      <c r="F88" s="10"/>
      <c r="G88" s="10"/>
      <c r="H88" s="10"/>
      <c r="I88" s="10"/>
      <c r="J88" s="10"/>
      <c r="K88" s="10"/>
      <c r="L88" s="10"/>
      <c r="M88" s="10"/>
      <c r="N88" s="10"/>
    </row>
    <row r="89" spans="1:14" x14ac:dyDescent="0.2">
      <c r="A89" s="10"/>
      <c r="B89" s="10"/>
      <c r="C89" s="10"/>
      <c r="D89" s="10"/>
      <c r="E89" s="10"/>
      <c r="F89" s="10"/>
      <c r="G89" s="10"/>
      <c r="H89" s="10"/>
      <c r="I89" s="10"/>
      <c r="J89" s="10"/>
      <c r="K89" s="10"/>
      <c r="L89" s="10"/>
      <c r="M89" s="10"/>
      <c r="N89" s="10"/>
    </row>
    <row r="90" spans="1:14" x14ac:dyDescent="0.2">
      <c r="A90" s="10"/>
      <c r="B90" s="10"/>
      <c r="C90" s="10"/>
      <c r="D90" s="10"/>
      <c r="E90" s="10"/>
      <c r="F90" s="10"/>
      <c r="G90" s="10"/>
      <c r="H90" s="10"/>
      <c r="I90" s="10"/>
      <c r="J90" s="10"/>
      <c r="K90" s="10"/>
      <c r="L90" s="10"/>
      <c r="M90" s="10"/>
      <c r="N90" s="10"/>
    </row>
    <row r="91" spans="1:14" x14ac:dyDescent="0.2">
      <c r="A91" s="10"/>
      <c r="B91" s="10"/>
      <c r="C91" s="10"/>
      <c r="D91" s="10"/>
      <c r="E91" s="10"/>
      <c r="F91" s="10"/>
      <c r="G91" s="10"/>
      <c r="H91" s="10"/>
      <c r="I91" s="10"/>
      <c r="J91" s="10"/>
      <c r="K91" s="10"/>
      <c r="L91" s="10"/>
      <c r="M91" s="10"/>
      <c r="N91" s="10"/>
    </row>
    <row r="92" spans="1:14" x14ac:dyDescent="0.2">
      <c r="A92" s="10"/>
      <c r="B92" s="10"/>
      <c r="C92" s="10"/>
      <c r="D92" s="10"/>
      <c r="E92" s="10"/>
      <c r="F92" s="10"/>
      <c r="G92" s="10"/>
      <c r="H92" s="10"/>
      <c r="I92" s="10"/>
      <c r="J92" s="10"/>
      <c r="K92" s="10"/>
      <c r="L92" s="10"/>
      <c r="M92" s="10"/>
      <c r="N92" s="10"/>
    </row>
    <row r="93" spans="1:14" x14ac:dyDescent="0.2">
      <c r="A93" s="10"/>
      <c r="B93" s="10"/>
      <c r="C93" s="10"/>
      <c r="D93" s="10"/>
      <c r="E93" s="10"/>
      <c r="F93" s="10"/>
      <c r="G93" s="10"/>
      <c r="H93" s="10"/>
      <c r="I93" s="10"/>
      <c r="J93" s="10"/>
      <c r="K93" s="10"/>
      <c r="L93" s="10"/>
      <c r="M93" s="10"/>
      <c r="N93" s="10"/>
    </row>
    <row r="94" spans="1:14" x14ac:dyDescent="0.2">
      <c r="A94" s="10"/>
      <c r="B94" s="10"/>
      <c r="C94" s="10"/>
      <c r="D94" s="10"/>
      <c r="E94" s="10"/>
      <c r="F94" s="10"/>
      <c r="G94" s="10"/>
      <c r="H94" s="10"/>
      <c r="I94" s="10"/>
      <c r="J94" s="10"/>
      <c r="K94" s="10"/>
      <c r="L94" s="10"/>
      <c r="M94" s="10"/>
      <c r="N94" s="10"/>
    </row>
    <row r="95" spans="1:14" x14ac:dyDescent="0.2">
      <c r="A95" s="10"/>
      <c r="B95" s="10"/>
      <c r="C95" s="10"/>
      <c r="D95" s="10"/>
      <c r="E95" s="10"/>
      <c r="F95" s="10"/>
      <c r="G95" s="10"/>
      <c r="H95" s="10"/>
      <c r="I95" s="10"/>
      <c r="J95" s="10"/>
      <c r="K95" s="10"/>
      <c r="L95" s="10"/>
      <c r="M95" s="10"/>
      <c r="N95" s="10"/>
    </row>
    <row r="96" spans="1:14" x14ac:dyDescent="0.2">
      <c r="A96" s="10"/>
      <c r="B96" s="10"/>
      <c r="C96" s="10"/>
      <c r="D96" s="10"/>
      <c r="E96" s="10"/>
      <c r="F96" s="10"/>
      <c r="G96" s="10"/>
      <c r="H96" s="10"/>
      <c r="I96" s="10"/>
      <c r="J96" s="10"/>
      <c r="K96" s="10"/>
      <c r="L96" s="10"/>
      <c r="M96" s="10"/>
      <c r="N96" s="10"/>
    </row>
    <row r="97" spans="1:14" x14ac:dyDescent="0.2">
      <c r="A97" s="10"/>
      <c r="B97" s="10"/>
      <c r="C97" s="10"/>
      <c r="D97" s="10"/>
      <c r="E97" s="10"/>
      <c r="F97" s="10"/>
      <c r="G97" s="10"/>
      <c r="H97" s="10"/>
      <c r="I97" s="10"/>
      <c r="J97" s="10"/>
      <c r="K97" s="10"/>
      <c r="L97" s="10"/>
      <c r="M97" s="10"/>
      <c r="N97" s="10"/>
    </row>
    <row r="98" spans="1:14" x14ac:dyDescent="0.2">
      <c r="A98" s="10"/>
      <c r="B98" s="10"/>
      <c r="C98" s="10"/>
      <c r="D98" s="10"/>
      <c r="E98" s="10"/>
      <c r="F98" s="10"/>
      <c r="G98" s="10"/>
      <c r="H98" s="10"/>
      <c r="I98" s="10"/>
      <c r="J98" s="10"/>
      <c r="K98" s="10"/>
      <c r="L98" s="10"/>
      <c r="M98" s="10"/>
      <c r="N98" s="10"/>
    </row>
    <row r="99" spans="1:14" x14ac:dyDescent="0.2">
      <c r="A99" s="10"/>
      <c r="B99" s="10"/>
      <c r="C99" s="10"/>
      <c r="D99" s="10"/>
      <c r="E99" s="10"/>
      <c r="F99" s="10"/>
      <c r="G99" s="10"/>
      <c r="H99" s="10"/>
      <c r="I99" s="10"/>
      <c r="J99" s="10"/>
      <c r="K99" s="10"/>
      <c r="L99" s="10"/>
      <c r="M99" s="10"/>
      <c r="N99" s="10"/>
    </row>
    <row r="100" spans="1:14" x14ac:dyDescent="0.2">
      <c r="A100" s="10"/>
      <c r="B100" s="10"/>
      <c r="C100" s="10"/>
      <c r="D100" s="10"/>
      <c r="E100" s="10"/>
      <c r="F100" s="10"/>
      <c r="G100" s="10"/>
      <c r="H100" s="10"/>
      <c r="I100" s="10"/>
      <c r="J100" s="10"/>
      <c r="K100" s="10"/>
      <c r="L100" s="10"/>
      <c r="M100" s="10"/>
      <c r="N100" s="10"/>
    </row>
  </sheetData>
  <dataValidations count="2">
    <dataValidation type="list" allowBlank="1" showInputMessage="1" showErrorMessage="1" sqref="C20:C39" xr:uid="{885427D4-10B7-6641-8D75-32B19561AAD2}">
      <formula1>"Team,Department,Company"</formula1>
    </dataValidation>
    <dataValidation type="list" allowBlank="1" showInputMessage="1" showErrorMessage="1" sqref="D20:D39" xr:uid="{E25838DD-7E59-BF4C-A8F5-A55D33375370}">
      <formula1>"D1,D2,D3"</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2E547-D636-374D-A883-ECAE9B358C30}">
  <sheetPr>
    <tabColor rgb="FF006B6B"/>
  </sheetPr>
  <dimension ref="A1:N100"/>
  <sheetViews>
    <sheetView showGridLines="0" topLeftCell="A18" workbookViewId="0">
      <selection activeCell="D9" sqref="D9"/>
    </sheetView>
  </sheetViews>
  <sheetFormatPr baseColWidth="10" defaultRowHeight="16" x14ac:dyDescent="0.2"/>
  <cols>
    <col min="1" max="1" width="4.6640625" customWidth="1"/>
    <col min="2" max="2" width="24.1640625" customWidth="1"/>
    <col min="3" max="3" width="26.6640625" customWidth="1"/>
    <col min="4" max="8" width="17.5" customWidth="1"/>
    <col min="9" max="11" width="20" customWidth="1"/>
  </cols>
  <sheetData>
    <row r="1" spans="1:14" x14ac:dyDescent="0.2">
      <c r="A1" s="10"/>
      <c r="B1" s="10"/>
      <c r="C1" s="10"/>
      <c r="D1" s="10"/>
      <c r="E1" s="10"/>
      <c r="F1" s="10"/>
      <c r="G1" s="10"/>
      <c r="H1" s="10"/>
      <c r="I1" s="10"/>
      <c r="J1" s="10"/>
      <c r="K1" s="10"/>
      <c r="L1" s="10"/>
      <c r="M1" s="10"/>
      <c r="N1" s="10"/>
    </row>
    <row r="2" spans="1:14" x14ac:dyDescent="0.2">
      <c r="A2" s="10"/>
      <c r="B2" s="10"/>
      <c r="C2" s="10"/>
      <c r="D2" s="10"/>
      <c r="E2" s="10"/>
      <c r="F2" s="10"/>
      <c r="G2" s="10"/>
      <c r="H2" s="10"/>
      <c r="I2" s="10"/>
      <c r="J2" s="10"/>
      <c r="K2" s="10"/>
      <c r="L2" s="10"/>
      <c r="M2" s="10"/>
      <c r="N2" s="10"/>
    </row>
    <row r="3" spans="1:14" x14ac:dyDescent="0.2">
      <c r="A3" s="10"/>
      <c r="B3" s="10"/>
      <c r="C3" s="10"/>
      <c r="D3" s="10"/>
      <c r="E3" s="10"/>
      <c r="F3" s="10"/>
      <c r="G3" s="10"/>
      <c r="H3" s="10"/>
      <c r="I3" s="10"/>
      <c r="J3" s="10"/>
      <c r="K3" s="10"/>
      <c r="L3" s="10"/>
      <c r="M3" s="10"/>
      <c r="N3" s="10"/>
    </row>
    <row r="4" spans="1:14" x14ac:dyDescent="0.2">
      <c r="A4" s="10"/>
      <c r="B4" s="10"/>
      <c r="C4" s="10"/>
      <c r="D4" s="10"/>
      <c r="E4" s="10"/>
      <c r="F4" s="10"/>
      <c r="G4" s="10"/>
      <c r="H4" s="10"/>
      <c r="I4" s="10"/>
      <c r="J4" s="10"/>
      <c r="K4" s="10"/>
      <c r="L4" s="10"/>
      <c r="M4" s="10"/>
      <c r="N4" s="10"/>
    </row>
    <row r="5" spans="1:14" x14ac:dyDescent="0.2">
      <c r="A5" s="10"/>
      <c r="B5" s="10"/>
      <c r="C5" s="10"/>
      <c r="D5" s="10"/>
      <c r="E5" s="10"/>
      <c r="F5" s="10"/>
      <c r="G5" s="10"/>
      <c r="H5" s="10"/>
      <c r="I5" s="10"/>
      <c r="J5" s="10"/>
      <c r="K5" s="10"/>
      <c r="L5" s="10"/>
      <c r="M5" s="10"/>
      <c r="N5" s="10"/>
    </row>
    <row r="6" spans="1:14" x14ac:dyDescent="0.2">
      <c r="A6" s="10"/>
      <c r="B6" s="10"/>
      <c r="C6" s="10"/>
      <c r="D6" s="10"/>
      <c r="E6" s="10"/>
      <c r="F6" s="10"/>
      <c r="G6" s="10"/>
      <c r="H6" s="10"/>
      <c r="I6" s="10"/>
      <c r="J6" s="10"/>
      <c r="K6" s="10"/>
      <c r="L6" s="10"/>
      <c r="M6" s="10"/>
      <c r="N6" s="10"/>
    </row>
    <row r="7" spans="1:14" x14ac:dyDescent="0.2">
      <c r="A7" s="10"/>
      <c r="B7" s="10"/>
      <c r="C7" s="10"/>
      <c r="D7" s="10"/>
      <c r="E7" s="10"/>
      <c r="F7" s="10"/>
      <c r="G7" s="10"/>
      <c r="H7" s="10"/>
      <c r="I7" s="10"/>
      <c r="J7" s="10"/>
      <c r="K7" s="10"/>
      <c r="L7" s="10"/>
      <c r="M7" s="10"/>
      <c r="N7" s="10"/>
    </row>
    <row r="8" spans="1:14" x14ac:dyDescent="0.2">
      <c r="A8" s="10"/>
      <c r="B8" s="67" t="s">
        <v>145</v>
      </c>
      <c r="C8" s="13" t="s">
        <v>146</v>
      </c>
      <c r="D8" s="10"/>
      <c r="E8" s="10"/>
      <c r="F8" s="10"/>
      <c r="G8" s="10"/>
      <c r="H8" s="10"/>
      <c r="I8" s="10"/>
      <c r="J8" s="10"/>
      <c r="K8" s="10"/>
      <c r="L8" s="10"/>
      <c r="M8" s="10"/>
      <c r="N8" s="10"/>
    </row>
    <row r="9" spans="1:14" x14ac:dyDescent="0.2">
      <c r="A9" s="10"/>
      <c r="B9" s="67" t="s">
        <v>147</v>
      </c>
      <c r="C9" s="13" t="s">
        <v>18</v>
      </c>
      <c r="D9" s="10"/>
      <c r="E9" s="10"/>
      <c r="F9" s="10"/>
      <c r="G9" s="10"/>
      <c r="H9" s="10"/>
      <c r="I9" s="10"/>
      <c r="J9" s="10"/>
      <c r="K9" s="10"/>
      <c r="L9" s="10"/>
      <c r="M9" s="10"/>
      <c r="N9" s="10"/>
    </row>
    <row r="10" spans="1:14" x14ac:dyDescent="0.2">
      <c r="A10" s="10"/>
      <c r="B10" s="67" t="s">
        <v>148</v>
      </c>
      <c r="C10" s="13" t="s">
        <v>46</v>
      </c>
      <c r="D10" s="10"/>
      <c r="E10" s="10"/>
      <c r="F10" s="10"/>
      <c r="G10" s="10"/>
      <c r="H10" s="10"/>
      <c r="I10" s="10"/>
      <c r="J10" s="10"/>
      <c r="K10" s="10"/>
      <c r="L10" s="10"/>
      <c r="M10" s="10"/>
      <c r="N10" s="10"/>
    </row>
    <row r="11" spans="1:14" x14ac:dyDescent="0.2">
      <c r="A11" s="10"/>
      <c r="B11" s="10"/>
      <c r="C11" s="10"/>
      <c r="D11" s="10"/>
      <c r="E11" s="10"/>
      <c r="F11" s="10"/>
      <c r="G11" s="10"/>
      <c r="H11" s="10"/>
      <c r="I11" s="10"/>
      <c r="J11" s="10"/>
      <c r="K11" s="10"/>
      <c r="L11" s="10"/>
      <c r="M11" s="10"/>
      <c r="N11" s="10"/>
    </row>
    <row r="12" spans="1:14" x14ac:dyDescent="0.2">
      <c r="A12" s="10"/>
      <c r="B12" s="67" t="s">
        <v>149</v>
      </c>
      <c r="C12" s="68">
        <f>IF(C9="Team",IF(C10="Monthly",'📋 PRICING REFERENCE'!C6,'📋 PRICING REFERENCE'!D6),IF(C9="Department",IF(C10="Monthly",'📋 PRICING REFERENCE'!C7,'📋 PRICING REFERENCE'!D7),IF(C9="Company",IF(C10="Monthly",'📋 PRICING REFERENCE'!C8,'📋 PRICING REFERENCE'!D8),"")))</f>
        <v>699</v>
      </c>
      <c r="D12" s="10"/>
      <c r="E12" s="10"/>
      <c r="F12" s="10"/>
      <c r="G12" s="10"/>
      <c r="H12" s="10"/>
      <c r="I12" s="10"/>
      <c r="J12" s="10"/>
      <c r="K12" s="10"/>
      <c r="L12" s="10"/>
      <c r="M12" s="10"/>
      <c r="N12" s="10"/>
    </row>
    <row r="13" spans="1:14" x14ac:dyDescent="0.2">
      <c r="A13" s="10"/>
      <c r="B13" s="67" t="s">
        <v>150</v>
      </c>
      <c r="C13" s="68" t="str">
        <f>IF(C10="Annual",IF(C9="Team",'📋 PRICING REFERENCE'!E6,IF(C9="Department",'📋 PRICING REFERENCE'!E7,IF(C9="Company",'📋 PRICING REFERENCE'!E8,""))),"-")</f>
        <v>-</v>
      </c>
      <c r="D13" s="10"/>
      <c r="E13" s="10"/>
      <c r="F13" s="10"/>
      <c r="G13" s="10"/>
      <c r="H13" s="10"/>
      <c r="I13" s="10"/>
      <c r="J13" s="10"/>
      <c r="K13" s="10"/>
      <c r="L13" s="10"/>
      <c r="M13" s="10"/>
      <c r="N13" s="10"/>
    </row>
    <row r="14" spans="1:14" x14ac:dyDescent="0.2">
      <c r="A14" s="10"/>
      <c r="B14" s="67" t="s">
        <v>151</v>
      </c>
      <c r="C14" s="69">
        <f>IF(C10="Monthly",C12,IF(C10="Annual",IF(ISNUMBER(C13),C13/12,""),""))</f>
        <v>699</v>
      </c>
      <c r="D14" s="10"/>
      <c r="E14" s="10"/>
      <c r="F14" s="10"/>
      <c r="G14" s="10"/>
      <c r="H14" s="10"/>
      <c r="I14" s="10"/>
      <c r="J14" s="10"/>
      <c r="K14" s="10"/>
      <c r="L14" s="10"/>
      <c r="M14" s="10"/>
      <c r="N14" s="10"/>
    </row>
    <row r="15" spans="1:14" x14ac:dyDescent="0.2">
      <c r="A15" s="10"/>
      <c r="B15" s="10"/>
      <c r="C15" s="10"/>
      <c r="D15" s="10"/>
      <c r="E15" s="10"/>
      <c r="F15" s="10"/>
      <c r="G15" s="10"/>
      <c r="H15" s="10"/>
      <c r="I15" s="10"/>
      <c r="J15" s="10"/>
      <c r="K15" s="10"/>
      <c r="L15" s="10"/>
      <c r="M15" s="10"/>
      <c r="N15" s="10"/>
    </row>
    <row r="16" spans="1:14" x14ac:dyDescent="0.2">
      <c r="A16" s="10"/>
      <c r="B16" s="9" t="s">
        <v>21</v>
      </c>
      <c r="C16" s="9" t="s">
        <v>137</v>
      </c>
      <c r="D16" s="9" t="s">
        <v>85</v>
      </c>
      <c r="E16" s="9" t="s">
        <v>86</v>
      </c>
      <c r="F16" s="9" t="s">
        <v>87</v>
      </c>
      <c r="G16" s="9" t="s">
        <v>152</v>
      </c>
      <c r="H16" s="9" t="s">
        <v>153</v>
      </c>
      <c r="I16" s="9" t="s">
        <v>97</v>
      </c>
      <c r="J16" s="10"/>
      <c r="K16" s="10"/>
      <c r="L16" s="10"/>
      <c r="M16" s="10"/>
      <c r="N16" s="10"/>
    </row>
    <row r="17" spans="1:14" x14ac:dyDescent="0.2">
      <c r="A17" s="10"/>
      <c r="B17" s="70" t="s">
        <v>27</v>
      </c>
      <c r="C17" s="18" t="s">
        <v>154</v>
      </c>
      <c r="D17" s="48">
        <f>C14*1</f>
        <v>699</v>
      </c>
      <c r="E17" s="48">
        <v>0</v>
      </c>
      <c r="F17" s="48">
        <v>0</v>
      </c>
      <c r="G17" s="48">
        <v>0</v>
      </c>
      <c r="H17" s="48">
        <v>0</v>
      </c>
      <c r="I17" s="49">
        <f>D17</f>
        <v>699</v>
      </c>
      <c r="J17" s="10"/>
      <c r="K17" s="10"/>
      <c r="L17" s="10"/>
      <c r="M17" s="10"/>
      <c r="N17" s="10"/>
    </row>
    <row r="18" spans="1:14" x14ac:dyDescent="0.2">
      <c r="A18" s="10"/>
      <c r="B18" s="71" t="s">
        <v>32</v>
      </c>
      <c r="C18" s="21" t="s">
        <v>155</v>
      </c>
      <c r="D18" s="48">
        <f>C14*0.5</f>
        <v>349.5</v>
      </c>
      <c r="E18" s="48">
        <f>C14*0.5</f>
        <v>349.5</v>
      </c>
      <c r="F18" s="48">
        <f>C14*0.5</f>
        <v>349.5</v>
      </c>
      <c r="G18" s="48">
        <v>0</v>
      </c>
      <c r="H18" s="48">
        <v>0</v>
      </c>
      <c r="I18" s="49">
        <f>C14*0.5*3</f>
        <v>1048.5</v>
      </c>
      <c r="J18" s="10"/>
      <c r="K18" s="10"/>
      <c r="L18" s="10"/>
      <c r="M18" s="10"/>
      <c r="N18" s="10"/>
    </row>
    <row r="19" spans="1:14" x14ac:dyDescent="0.2">
      <c r="A19" s="10"/>
      <c r="B19" s="72" t="s">
        <v>37</v>
      </c>
      <c r="C19" s="23" t="s">
        <v>156</v>
      </c>
      <c r="D19" s="48">
        <f>C14*0.3</f>
        <v>209.7</v>
      </c>
      <c r="E19" s="48">
        <f>C14*0.3</f>
        <v>209.7</v>
      </c>
      <c r="F19" s="48">
        <f>C14*0.3</f>
        <v>209.7</v>
      </c>
      <c r="G19" s="48">
        <f>C14*0.3</f>
        <v>209.7</v>
      </c>
      <c r="H19" s="48">
        <v>0</v>
      </c>
      <c r="I19" s="49">
        <f>C14*0.3*6</f>
        <v>1258.1999999999998</v>
      </c>
      <c r="J19" s="10"/>
      <c r="K19" s="10"/>
      <c r="L19" s="10"/>
      <c r="M19" s="10"/>
      <c r="N19" s="10"/>
    </row>
    <row r="20" spans="1:14" x14ac:dyDescent="0.2">
      <c r="A20" s="10"/>
      <c r="B20" s="73" t="s">
        <v>42</v>
      </c>
      <c r="C20" s="25" t="s">
        <v>157</v>
      </c>
      <c r="D20" s="48">
        <f>IF(C10="Monthly",C12*0.1,0)</f>
        <v>69.900000000000006</v>
      </c>
      <c r="E20" s="48">
        <f>IF(C10="Monthly",C12*0.1,0)</f>
        <v>69.900000000000006</v>
      </c>
      <c r="F20" s="48">
        <f>IF(C10="Monthly",C12*0.1,0)</f>
        <v>69.900000000000006</v>
      </c>
      <c r="G20" s="48">
        <f>IF(C10="Monthly",C12*0.1,0)</f>
        <v>69.900000000000006</v>
      </c>
      <c r="H20" s="48">
        <f>IF(C10="Monthly",C12*0.1,0)</f>
        <v>69.900000000000006</v>
      </c>
      <c r="I20" s="49">
        <f>IF(C10="Monthly",C12*0.1*12,0)</f>
        <v>838.80000000000007</v>
      </c>
      <c r="J20" s="10"/>
      <c r="K20" s="10"/>
      <c r="L20" s="10"/>
      <c r="M20" s="10"/>
      <c r="N20" s="10"/>
    </row>
    <row r="21" spans="1:14" x14ac:dyDescent="0.2">
      <c r="A21" s="10"/>
      <c r="B21" s="73" t="s">
        <v>48</v>
      </c>
      <c r="C21" s="25" t="s">
        <v>158</v>
      </c>
      <c r="D21" s="48">
        <f>IF(C10="Monthly",C12*0.12,0)</f>
        <v>83.88</v>
      </c>
      <c r="E21" s="48">
        <f>IF(C10="Monthly",C12*0.12,0)</f>
        <v>83.88</v>
      </c>
      <c r="F21" s="48">
        <f>IF(C10="Monthly",C12*0.12,0)</f>
        <v>83.88</v>
      </c>
      <c r="G21" s="48">
        <f>IF(C10="Monthly",C12*0.12,0)</f>
        <v>83.88</v>
      </c>
      <c r="H21" s="48">
        <f>IF(C10="Monthly",C12*0.12,0)</f>
        <v>83.88</v>
      </c>
      <c r="I21" s="49">
        <f>IF(C10="Monthly",C12*0.12*12,0)</f>
        <v>1006.56</v>
      </c>
      <c r="J21" s="10"/>
      <c r="K21" s="10"/>
      <c r="L21" s="10"/>
      <c r="M21" s="10"/>
      <c r="N21" s="10"/>
    </row>
    <row r="22" spans="1:14" x14ac:dyDescent="0.2">
      <c r="A22" s="10"/>
      <c r="B22" s="73" t="s">
        <v>53</v>
      </c>
      <c r="C22" s="25" t="s">
        <v>143</v>
      </c>
      <c r="D22" s="48">
        <f>IF(C10="Annual",C13*0.15,0)</f>
        <v>0</v>
      </c>
      <c r="E22" s="48">
        <v>0</v>
      </c>
      <c r="F22" s="48">
        <v>0</v>
      </c>
      <c r="G22" s="48">
        <v>0</v>
      </c>
      <c r="H22" s="48">
        <v>0</v>
      </c>
      <c r="I22" s="49">
        <f>IF(C10="Annual",C13*0.15,0)</f>
        <v>0</v>
      </c>
      <c r="J22" s="10"/>
      <c r="K22" s="10"/>
      <c r="L22" s="10"/>
      <c r="M22" s="10"/>
      <c r="N22" s="10"/>
    </row>
    <row r="23" spans="1:14" x14ac:dyDescent="0.2">
      <c r="A23" s="10"/>
      <c r="B23" s="74" t="s">
        <v>159</v>
      </c>
      <c r="C23" s="10"/>
      <c r="D23" s="75" t="str">
        <f>IF(I17=MAX(I17:I22),"A",IF(I18=MAX(I17:I22),"B",IF(I19=MAX(I17:I22),"C",IF(I20=MAX(I17:I22),"D1",IF(I21=MAX(I17:I22),"D2","D3")))))</f>
        <v>C</v>
      </c>
      <c r="E23" s="76" t="s">
        <v>160</v>
      </c>
      <c r="F23" s="10"/>
      <c r="G23" s="77">
        <f>MAX(I17:I22)</f>
        <v>1258.1999999999998</v>
      </c>
      <c r="H23" s="10"/>
      <c r="I23" s="10"/>
      <c r="J23" s="10"/>
      <c r="K23" s="10"/>
      <c r="L23" s="10"/>
      <c r="M23" s="10"/>
      <c r="N23" s="10"/>
    </row>
    <row r="24" spans="1:14" x14ac:dyDescent="0.2">
      <c r="A24" s="10"/>
      <c r="B24" s="10"/>
      <c r="C24" s="10"/>
      <c r="D24" s="10"/>
      <c r="E24" s="10"/>
      <c r="F24" s="10"/>
      <c r="G24" s="10"/>
      <c r="H24" s="10"/>
      <c r="I24" s="10"/>
      <c r="J24" s="10"/>
      <c r="K24" s="10"/>
      <c r="L24" s="10"/>
      <c r="M24" s="10"/>
      <c r="N24" s="10"/>
    </row>
    <row r="25" spans="1:14" x14ac:dyDescent="0.2">
      <c r="A25" s="10"/>
      <c r="B25" s="78" t="s">
        <v>161</v>
      </c>
      <c r="C25" s="10"/>
      <c r="D25" s="10"/>
      <c r="E25" s="10"/>
      <c r="F25" s="10"/>
      <c r="G25" s="10"/>
      <c r="H25" s="10"/>
      <c r="I25" s="10"/>
      <c r="J25" s="10"/>
      <c r="K25" s="10"/>
      <c r="L25" s="10"/>
      <c r="M25" s="10"/>
      <c r="N25" s="10"/>
    </row>
    <row r="26" spans="1:14" x14ac:dyDescent="0.2">
      <c r="A26" s="10"/>
      <c r="B26" s="79" t="str">
        <f>CONCATENATE("Based on your selection (",C9," / ",C10,"), your best modality is ",D23," with a total commission of $",TEXT(G23,"#,##0.00"),".")</f>
        <v>Based on your selection (Department / Monthly), your best modality is C with a total commission of $1258,2000.</v>
      </c>
      <c r="C26" s="10"/>
      <c r="D26" s="10"/>
      <c r="E26" s="10"/>
      <c r="F26" s="10"/>
      <c r="G26" s="10"/>
      <c r="H26" s="10"/>
      <c r="I26" s="10"/>
      <c r="J26" s="10"/>
      <c r="K26" s="10"/>
      <c r="L26" s="10"/>
      <c r="M26" s="10"/>
      <c r="N26" s="10"/>
    </row>
    <row r="27" spans="1:14" x14ac:dyDescent="0.2">
      <c r="A27" s="10"/>
      <c r="B27" s="79" t="str">
        <f>IF(OR(D23="D3"),"💡 Consider negotiating an annual contract with your client to maximize your earnings upfront.",IF(OR(D23="D1",D23="D2"),"💡 The recurring structure rewards you for client retention — focus on onboarding this client successfully.",IF(D23="A","💡 Modality A gives you 100% upfront — ideal for quick cash flow.",IF(D23="B","💡 Modality B balances upfront earnings with a short commitment period.","💡 Modality C spreads earnings over 6 months for a balanced approach."))))</f>
        <v>💡 Modality C spreads earnings over 6 months for a balanced approach.</v>
      </c>
      <c r="C27" s="10"/>
      <c r="D27" s="10"/>
      <c r="E27" s="10"/>
      <c r="F27" s="10"/>
      <c r="G27" s="10"/>
      <c r="H27" s="10"/>
      <c r="I27" s="10"/>
      <c r="J27" s="10"/>
      <c r="K27" s="10"/>
      <c r="L27" s="10"/>
      <c r="M27" s="10"/>
      <c r="N27" s="10"/>
    </row>
    <row r="28" spans="1:14" x14ac:dyDescent="0.2">
      <c r="A28" s="10"/>
      <c r="B28" s="10"/>
      <c r="C28" s="10"/>
      <c r="D28" s="10"/>
      <c r="E28" s="10"/>
      <c r="F28" s="10"/>
      <c r="G28" s="10"/>
      <c r="H28" s="10"/>
      <c r="I28" s="10"/>
      <c r="J28" s="10"/>
      <c r="K28" s="10"/>
      <c r="L28" s="10"/>
      <c r="M28" s="10"/>
      <c r="N28" s="10"/>
    </row>
    <row r="29" spans="1:14" x14ac:dyDescent="0.2">
      <c r="A29" s="10"/>
      <c r="B29" s="10"/>
      <c r="C29" s="10"/>
      <c r="D29" s="10"/>
      <c r="E29" s="10"/>
      <c r="F29" s="10"/>
      <c r="G29" s="10"/>
      <c r="H29" s="10"/>
      <c r="I29" s="10"/>
      <c r="J29" s="10"/>
      <c r="K29" s="10"/>
      <c r="L29" s="10"/>
      <c r="M29" s="10"/>
      <c r="N29" s="10"/>
    </row>
    <row r="30" spans="1:14" x14ac:dyDescent="0.2">
      <c r="A30" s="10"/>
      <c r="B30" s="6" t="s">
        <v>162</v>
      </c>
      <c r="C30" s="10"/>
      <c r="D30" s="10"/>
      <c r="E30" s="10"/>
      <c r="F30" s="10"/>
      <c r="G30" s="10"/>
      <c r="H30" s="10"/>
      <c r="I30" s="10"/>
      <c r="J30" s="10"/>
      <c r="K30" s="10"/>
      <c r="L30" s="10"/>
      <c r="M30" s="10"/>
      <c r="N30" s="10"/>
    </row>
    <row r="31" spans="1:14" x14ac:dyDescent="0.2">
      <c r="A31" s="10"/>
      <c r="B31" s="9" t="s">
        <v>21</v>
      </c>
      <c r="C31" s="9" t="s">
        <v>163</v>
      </c>
      <c r="D31" s="9" t="s">
        <v>164</v>
      </c>
      <c r="E31" s="9" t="s">
        <v>140</v>
      </c>
      <c r="F31" s="9" t="s">
        <v>165</v>
      </c>
      <c r="G31" s="9" t="s">
        <v>26</v>
      </c>
      <c r="H31" s="10"/>
      <c r="I31" s="10"/>
      <c r="J31" s="10"/>
      <c r="K31" s="10"/>
      <c r="L31" s="10"/>
      <c r="M31" s="10"/>
      <c r="N31" s="10"/>
    </row>
    <row r="32" spans="1:14" x14ac:dyDescent="0.2">
      <c r="A32" s="10"/>
      <c r="B32" s="29" t="s">
        <v>27</v>
      </c>
      <c r="C32" s="10" t="s">
        <v>166</v>
      </c>
      <c r="D32" s="80">
        <f>COUNTA('💰 MODALITY A'!B16:B35)</f>
        <v>0</v>
      </c>
      <c r="E32" s="40">
        <f>SUM('💰 MODALITY A'!H16:H35)</f>
        <v>0</v>
      </c>
      <c r="F32" s="48">
        <f>IFERROR(E32/D32,0)</f>
        <v>0</v>
      </c>
      <c r="G32" s="10" t="s">
        <v>167</v>
      </c>
      <c r="H32" s="10"/>
      <c r="I32" s="10"/>
      <c r="J32" s="10"/>
      <c r="K32" s="10"/>
      <c r="L32" s="10"/>
      <c r="M32" s="10"/>
      <c r="N32" s="10"/>
    </row>
    <row r="33" spans="1:14" x14ac:dyDescent="0.2">
      <c r="A33" s="10"/>
      <c r="B33" s="29" t="s">
        <v>32</v>
      </c>
      <c r="C33" s="10" t="s">
        <v>168</v>
      </c>
      <c r="D33" s="80">
        <f>COUNTA('💰 MODALITY B'!B16:B35)</f>
        <v>0</v>
      </c>
      <c r="E33" s="40">
        <f>SUM('💰 MODALITY B'!K16:K35)</f>
        <v>0</v>
      </c>
      <c r="F33" s="48">
        <f>IFERROR(E33/D33,0)</f>
        <v>0</v>
      </c>
      <c r="G33" s="10" t="s">
        <v>169</v>
      </c>
      <c r="H33" s="10"/>
      <c r="I33" s="10"/>
      <c r="J33" s="10"/>
      <c r="K33" s="10"/>
      <c r="L33" s="10"/>
      <c r="M33" s="10"/>
      <c r="N33" s="10"/>
    </row>
    <row r="34" spans="1:14" x14ac:dyDescent="0.2">
      <c r="A34" s="10"/>
      <c r="B34" s="29" t="s">
        <v>37</v>
      </c>
      <c r="C34" s="10" t="s">
        <v>170</v>
      </c>
      <c r="D34" s="80">
        <f>COUNTA('💰 MODALITY C'!B16:B35)</f>
        <v>0</v>
      </c>
      <c r="E34" s="40">
        <f>SUM('💰 MODALITY C'!K16:K35)</f>
        <v>0</v>
      </c>
      <c r="F34" s="48">
        <f>IFERROR(E34/D34,0)</f>
        <v>0</v>
      </c>
      <c r="G34" s="10" t="s">
        <v>171</v>
      </c>
      <c r="H34" s="10"/>
      <c r="I34" s="10"/>
      <c r="J34" s="10"/>
      <c r="K34" s="10"/>
      <c r="L34" s="10"/>
      <c r="M34" s="10"/>
      <c r="N34" s="10"/>
    </row>
    <row r="35" spans="1:14" x14ac:dyDescent="0.2">
      <c r="A35" s="10"/>
      <c r="B35" s="29" t="s">
        <v>172</v>
      </c>
      <c r="C35" s="10" t="s">
        <v>173</v>
      </c>
      <c r="D35" s="80">
        <f>COUNTA('💰 MODALITY D'!B20:B39)</f>
        <v>0</v>
      </c>
      <c r="E35" s="40">
        <f>SUM('💰 MODALITY D'!J20:J39)</f>
        <v>0</v>
      </c>
      <c r="F35" s="48">
        <f>IFERROR(E35/D35,0)</f>
        <v>0</v>
      </c>
      <c r="G35" s="10" t="s">
        <v>174</v>
      </c>
      <c r="H35" s="10"/>
      <c r="I35" s="10"/>
      <c r="J35" s="10"/>
      <c r="K35" s="10"/>
      <c r="L35" s="10"/>
      <c r="M35" s="10"/>
      <c r="N35" s="10"/>
    </row>
    <row r="36" spans="1:14" x14ac:dyDescent="0.2">
      <c r="A36" s="10"/>
      <c r="B36" s="74" t="s">
        <v>175</v>
      </c>
      <c r="C36" s="10"/>
      <c r="D36" s="10"/>
      <c r="E36" s="77">
        <f>MAX(E32:E35)</f>
        <v>0</v>
      </c>
      <c r="F36" s="10"/>
      <c r="G36" s="10"/>
      <c r="H36" s="10"/>
      <c r="I36" s="10"/>
      <c r="J36" s="10"/>
      <c r="K36" s="10"/>
      <c r="L36" s="10"/>
      <c r="M36" s="10"/>
      <c r="N36" s="10"/>
    </row>
    <row r="37" spans="1:14" x14ac:dyDescent="0.2">
      <c r="A37" s="10"/>
      <c r="B37" s="10"/>
      <c r="C37" s="10"/>
      <c r="D37" s="10"/>
      <c r="E37" s="10"/>
      <c r="F37" s="10"/>
      <c r="G37" s="10"/>
      <c r="H37" s="10"/>
      <c r="I37" s="10"/>
      <c r="J37" s="10"/>
      <c r="K37" s="10"/>
      <c r="L37" s="10"/>
      <c r="M37" s="10"/>
      <c r="N37" s="10"/>
    </row>
    <row r="38" spans="1:14" x14ac:dyDescent="0.2">
      <c r="A38" s="10"/>
      <c r="B38" s="10"/>
      <c r="C38" s="10"/>
      <c r="D38" s="10"/>
      <c r="E38" s="10"/>
      <c r="F38" s="10"/>
      <c r="G38" s="10"/>
      <c r="H38" s="10"/>
      <c r="I38" s="10"/>
      <c r="J38" s="10"/>
      <c r="K38" s="10"/>
      <c r="L38" s="10"/>
      <c r="M38" s="10"/>
      <c r="N38" s="10"/>
    </row>
    <row r="39" spans="1:14" x14ac:dyDescent="0.2">
      <c r="A39" s="10"/>
      <c r="B39" s="10"/>
      <c r="C39" s="10"/>
      <c r="D39" s="10"/>
      <c r="E39" s="10"/>
      <c r="F39" s="10"/>
      <c r="G39" s="10"/>
      <c r="H39" s="10"/>
      <c r="I39" s="10"/>
      <c r="J39" s="10"/>
      <c r="K39" s="10"/>
      <c r="L39" s="10"/>
      <c r="M39" s="10"/>
      <c r="N39" s="10"/>
    </row>
    <row r="40" spans="1:14" x14ac:dyDescent="0.2">
      <c r="A40" s="10"/>
      <c r="B40" s="10"/>
      <c r="C40" s="10"/>
      <c r="D40" s="10"/>
      <c r="E40" s="10"/>
      <c r="F40" s="10"/>
      <c r="G40" s="10"/>
      <c r="H40" s="10"/>
      <c r="I40" s="10"/>
      <c r="J40" s="10"/>
      <c r="K40" s="10"/>
      <c r="L40" s="10"/>
      <c r="M40" s="10"/>
      <c r="N40" s="10"/>
    </row>
    <row r="41" spans="1:14" x14ac:dyDescent="0.2">
      <c r="A41" s="10"/>
      <c r="B41" s="10"/>
      <c r="C41" s="10"/>
      <c r="D41" s="10"/>
      <c r="E41" s="10"/>
      <c r="F41" s="10"/>
      <c r="G41" s="10"/>
      <c r="H41" s="10"/>
      <c r="I41" s="10"/>
      <c r="J41" s="10"/>
      <c r="K41" s="10"/>
      <c r="L41" s="10"/>
      <c r="M41" s="10"/>
      <c r="N41" s="10"/>
    </row>
    <row r="42" spans="1:14" x14ac:dyDescent="0.2">
      <c r="A42" s="10"/>
      <c r="B42" s="10"/>
      <c r="C42" s="10"/>
      <c r="D42" s="10"/>
      <c r="E42" s="10"/>
      <c r="F42" s="10"/>
      <c r="G42" s="10"/>
      <c r="H42" s="10"/>
      <c r="I42" s="10"/>
      <c r="J42" s="10"/>
      <c r="K42" s="10"/>
      <c r="L42" s="10"/>
      <c r="M42" s="10"/>
      <c r="N42" s="10"/>
    </row>
    <row r="43" spans="1:14" x14ac:dyDescent="0.2">
      <c r="A43" s="10"/>
      <c r="B43" s="10"/>
      <c r="C43" s="10"/>
      <c r="D43" s="10"/>
      <c r="E43" s="10"/>
      <c r="F43" s="10"/>
      <c r="G43" s="10"/>
      <c r="H43" s="10"/>
      <c r="I43" s="10"/>
      <c r="J43" s="10"/>
      <c r="K43" s="10"/>
      <c r="L43" s="10"/>
      <c r="M43" s="10"/>
      <c r="N43" s="10"/>
    </row>
    <row r="44" spans="1:14" x14ac:dyDescent="0.2">
      <c r="A44" s="10"/>
      <c r="B44" s="10"/>
      <c r="C44" s="10"/>
      <c r="D44" s="10"/>
      <c r="E44" s="10"/>
      <c r="F44" s="10"/>
      <c r="G44" s="10"/>
      <c r="H44" s="10"/>
      <c r="I44" s="10"/>
      <c r="J44" s="10"/>
      <c r="K44" s="10"/>
      <c r="L44" s="10"/>
      <c r="M44" s="10"/>
      <c r="N44" s="10"/>
    </row>
    <row r="45" spans="1:14" x14ac:dyDescent="0.2">
      <c r="A45" s="10"/>
      <c r="B45" s="10"/>
      <c r="C45" s="10"/>
      <c r="D45" s="10"/>
      <c r="E45" s="10"/>
      <c r="F45" s="10"/>
      <c r="G45" s="10"/>
      <c r="H45" s="10"/>
      <c r="I45" s="10"/>
      <c r="J45" s="10"/>
      <c r="K45" s="10"/>
      <c r="L45" s="10"/>
      <c r="M45" s="10"/>
      <c r="N45" s="10"/>
    </row>
    <row r="46" spans="1:14" x14ac:dyDescent="0.2">
      <c r="A46" s="10"/>
      <c r="B46" s="10"/>
      <c r="C46" s="10"/>
      <c r="D46" s="10"/>
      <c r="E46" s="10"/>
      <c r="F46" s="10"/>
      <c r="G46" s="10"/>
      <c r="H46" s="10"/>
      <c r="I46" s="10"/>
      <c r="J46" s="10"/>
      <c r="K46" s="10"/>
      <c r="L46" s="10"/>
      <c r="M46" s="10"/>
      <c r="N46" s="10"/>
    </row>
    <row r="47" spans="1:14" x14ac:dyDescent="0.2">
      <c r="A47" s="10"/>
      <c r="B47" s="10"/>
      <c r="C47" s="10"/>
      <c r="D47" s="10"/>
      <c r="E47" s="10"/>
      <c r="F47" s="10"/>
      <c r="G47" s="10"/>
      <c r="H47" s="10"/>
      <c r="I47" s="10"/>
      <c r="J47" s="10"/>
      <c r="K47" s="10"/>
      <c r="L47" s="10"/>
      <c r="M47" s="10"/>
      <c r="N47" s="10"/>
    </row>
    <row r="48" spans="1:14" x14ac:dyDescent="0.2">
      <c r="A48" s="10"/>
      <c r="B48" s="10"/>
      <c r="C48" s="10"/>
      <c r="D48" s="10"/>
      <c r="E48" s="10"/>
      <c r="F48" s="10"/>
      <c r="G48" s="10"/>
      <c r="H48" s="10"/>
      <c r="I48" s="10"/>
      <c r="J48" s="10"/>
      <c r="K48" s="10"/>
      <c r="L48" s="10"/>
      <c r="M48" s="10"/>
      <c r="N48" s="10"/>
    </row>
    <row r="49" spans="1:14" x14ac:dyDescent="0.2">
      <c r="A49" s="10"/>
      <c r="B49" s="10"/>
      <c r="C49" s="10"/>
      <c r="D49" s="10"/>
      <c r="E49" s="10"/>
      <c r="F49" s="10"/>
      <c r="G49" s="10"/>
      <c r="H49" s="10"/>
      <c r="I49" s="10"/>
      <c r="J49" s="10"/>
      <c r="K49" s="10"/>
      <c r="L49" s="10"/>
      <c r="M49" s="10"/>
      <c r="N49" s="10"/>
    </row>
    <row r="50" spans="1:14" x14ac:dyDescent="0.2">
      <c r="A50" s="10"/>
      <c r="B50" s="10"/>
      <c r="C50" s="10"/>
      <c r="D50" s="10"/>
      <c r="E50" s="10"/>
      <c r="F50" s="10"/>
      <c r="G50" s="10"/>
      <c r="H50" s="10"/>
      <c r="I50" s="10"/>
      <c r="J50" s="10"/>
      <c r="K50" s="10"/>
      <c r="L50" s="10"/>
      <c r="M50" s="10"/>
      <c r="N50" s="10"/>
    </row>
    <row r="51" spans="1:14" x14ac:dyDescent="0.2">
      <c r="A51" s="10"/>
      <c r="B51" s="10"/>
      <c r="C51" s="10"/>
      <c r="D51" s="10"/>
      <c r="E51" s="10"/>
      <c r="F51" s="10"/>
      <c r="G51" s="10"/>
      <c r="H51" s="10"/>
      <c r="I51" s="10"/>
      <c r="J51" s="10"/>
      <c r="K51" s="10"/>
      <c r="L51" s="10"/>
      <c r="M51" s="10"/>
      <c r="N51" s="10"/>
    </row>
    <row r="52" spans="1:14" x14ac:dyDescent="0.2">
      <c r="A52" s="10"/>
      <c r="B52" s="10"/>
      <c r="C52" s="10"/>
      <c r="D52" s="10"/>
      <c r="E52" s="10"/>
      <c r="F52" s="10"/>
      <c r="G52" s="10"/>
      <c r="H52" s="10"/>
      <c r="I52" s="10"/>
      <c r="J52" s="10"/>
      <c r="K52" s="10"/>
      <c r="L52" s="10"/>
      <c r="M52" s="10"/>
      <c r="N52" s="10"/>
    </row>
    <row r="53" spans="1:14" x14ac:dyDescent="0.2">
      <c r="A53" s="10"/>
      <c r="B53" s="10"/>
      <c r="C53" s="10"/>
      <c r="D53" s="10"/>
      <c r="E53" s="10"/>
      <c r="F53" s="10"/>
      <c r="G53" s="10"/>
      <c r="H53" s="10"/>
      <c r="I53" s="10"/>
      <c r="J53" s="10"/>
      <c r="K53" s="10"/>
      <c r="L53" s="10"/>
      <c r="M53" s="10"/>
      <c r="N53" s="10"/>
    </row>
    <row r="54" spans="1:14" x14ac:dyDescent="0.2">
      <c r="A54" s="10"/>
      <c r="B54" s="10"/>
      <c r="C54" s="10"/>
      <c r="D54" s="10"/>
      <c r="E54" s="10"/>
      <c r="F54" s="10"/>
      <c r="G54" s="10"/>
      <c r="H54" s="10"/>
      <c r="I54" s="10"/>
      <c r="J54" s="10"/>
      <c r="K54" s="10"/>
      <c r="L54" s="10"/>
      <c r="M54" s="10"/>
      <c r="N54" s="10"/>
    </row>
    <row r="55" spans="1:14" x14ac:dyDescent="0.2">
      <c r="A55" s="10"/>
      <c r="B55" s="10"/>
      <c r="C55" s="10"/>
      <c r="D55" s="10"/>
      <c r="E55" s="10"/>
      <c r="F55" s="10"/>
      <c r="G55" s="10"/>
      <c r="H55" s="10"/>
      <c r="I55" s="10"/>
      <c r="J55" s="10"/>
      <c r="K55" s="10"/>
      <c r="L55" s="10"/>
      <c r="M55" s="10"/>
      <c r="N55" s="10"/>
    </row>
    <row r="56" spans="1:14" x14ac:dyDescent="0.2">
      <c r="A56" s="10"/>
      <c r="B56" s="10"/>
      <c r="C56" s="10"/>
      <c r="D56" s="10"/>
      <c r="E56" s="10"/>
      <c r="F56" s="10"/>
      <c r="G56" s="10"/>
      <c r="H56" s="10"/>
      <c r="I56" s="10"/>
      <c r="J56" s="10"/>
      <c r="K56" s="10"/>
      <c r="L56" s="10"/>
      <c r="M56" s="10"/>
      <c r="N56" s="10"/>
    </row>
    <row r="57" spans="1:14" x14ac:dyDescent="0.2">
      <c r="A57" s="10"/>
      <c r="B57" s="11" t="s">
        <v>176</v>
      </c>
      <c r="C57" s="16">
        <v>1</v>
      </c>
      <c r="D57" s="16">
        <v>2</v>
      </c>
      <c r="E57" s="16">
        <v>3</v>
      </c>
      <c r="F57" s="16">
        <v>4</v>
      </c>
      <c r="G57" s="16">
        <v>5</v>
      </c>
      <c r="H57" s="16">
        <v>6</v>
      </c>
      <c r="I57" s="16">
        <v>7</v>
      </c>
      <c r="J57" s="16">
        <v>8</v>
      </c>
      <c r="K57" s="16">
        <v>9</v>
      </c>
      <c r="L57" s="16">
        <v>10</v>
      </c>
      <c r="M57" s="16">
        <v>11</v>
      </c>
      <c r="N57" s="16">
        <v>12</v>
      </c>
    </row>
    <row r="58" spans="1:14" x14ac:dyDescent="0.2">
      <c r="A58" s="10"/>
      <c r="B58" s="11" t="s">
        <v>27</v>
      </c>
      <c r="C58" s="69">
        <f>$C$14</f>
        <v>699</v>
      </c>
      <c r="D58" s="69">
        <v>0</v>
      </c>
      <c r="E58" s="69">
        <v>0</v>
      </c>
      <c r="F58" s="69">
        <v>0</v>
      </c>
      <c r="G58" s="69">
        <v>0</v>
      </c>
      <c r="H58" s="69">
        <v>0</v>
      </c>
      <c r="I58" s="69">
        <v>0</v>
      </c>
      <c r="J58" s="69">
        <v>0</v>
      </c>
      <c r="K58" s="69">
        <v>0</v>
      </c>
      <c r="L58" s="69">
        <v>0</v>
      </c>
      <c r="M58" s="69">
        <v>0</v>
      </c>
      <c r="N58" s="69">
        <v>0</v>
      </c>
    </row>
    <row r="59" spans="1:14" x14ac:dyDescent="0.2">
      <c r="A59" s="10"/>
      <c r="B59" s="11" t="s">
        <v>32</v>
      </c>
      <c r="C59" s="69">
        <f>$C$14*0.5</f>
        <v>349.5</v>
      </c>
      <c r="D59" s="69">
        <f>$C$14*0.5</f>
        <v>349.5</v>
      </c>
      <c r="E59" s="69">
        <f>$C$14*0.5</f>
        <v>349.5</v>
      </c>
      <c r="F59" s="69">
        <v>0</v>
      </c>
      <c r="G59" s="69">
        <v>0</v>
      </c>
      <c r="H59" s="69">
        <v>0</v>
      </c>
      <c r="I59" s="69">
        <v>0</v>
      </c>
      <c r="J59" s="69">
        <v>0</v>
      </c>
      <c r="K59" s="69">
        <v>0</v>
      </c>
      <c r="L59" s="69">
        <v>0</v>
      </c>
      <c r="M59" s="69">
        <v>0</v>
      </c>
      <c r="N59" s="69">
        <v>0</v>
      </c>
    </row>
    <row r="60" spans="1:14" x14ac:dyDescent="0.2">
      <c r="A60" s="10"/>
      <c r="B60" s="11" t="s">
        <v>37</v>
      </c>
      <c r="C60" s="69">
        <f t="shared" ref="C60:H60" si="0">$C$14*0.3</f>
        <v>209.7</v>
      </c>
      <c r="D60" s="69">
        <f t="shared" si="0"/>
        <v>209.7</v>
      </c>
      <c r="E60" s="69">
        <f t="shared" si="0"/>
        <v>209.7</v>
      </c>
      <c r="F60" s="69">
        <f t="shared" si="0"/>
        <v>209.7</v>
      </c>
      <c r="G60" s="69">
        <f t="shared" si="0"/>
        <v>209.7</v>
      </c>
      <c r="H60" s="69">
        <f t="shared" si="0"/>
        <v>209.7</v>
      </c>
      <c r="I60" s="69">
        <v>0</v>
      </c>
      <c r="J60" s="69">
        <v>0</v>
      </c>
      <c r="K60" s="69">
        <v>0</v>
      </c>
      <c r="L60" s="69">
        <v>0</v>
      </c>
      <c r="M60" s="69">
        <v>0</v>
      </c>
      <c r="N60" s="69">
        <v>0</v>
      </c>
    </row>
    <row r="61" spans="1:14" x14ac:dyDescent="0.2">
      <c r="A61" s="10"/>
      <c r="B61" s="11" t="s">
        <v>42</v>
      </c>
      <c r="C61" s="69">
        <f t="shared" ref="C61:N61" si="1">IF($C$10="Monthly",$C$12*0.1,0)</f>
        <v>69.900000000000006</v>
      </c>
      <c r="D61" s="69">
        <f t="shared" si="1"/>
        <v>69.900000000000006</v>
      </c>
      <c r="E61" s="69">
        <f t="shared" si="1"/>
        <v>69.900000000000006</v>
      </c>
      <c r="F61" s="69">
        <f t="shared" si="1"/>
        <v>69.900000000000006</v>
      </c>
      <c r="G61" s="69">
        <f t="shared" si="1"/>
        <v>69.900000000000006</v>
      </c>
      <c r="H61" s="69">
        <f t="shared" si="1"/>
        <v>69.900000000000006</v>
      </c>
      <c r="I61" s="69">
        <f t="shared" si="1"/>
        <v>69.900000000000006</v>
      </c>
      <c r="J61" s="69">
        <f t="shared" si="1"/>
        <v>69.900000000000006</v>
      </c>
      <c r="K61" s="69">
        <f t="shared" si="1"/>
        <v>69.900000000000006</v>
      </c>
      <c r="L61" s="69">
        <f t="shared" si="1"/>
        <v>69.900000000000006</v>
      </c>
      <c r="M61" s="69">
        <f t="shared" si="1"/>
        <v>69.900000000000006</v>
      </c>
      <c r="N61" s="69">
        <f t="shared" si="1"/>
        <v>69.900000000000006</v>
      </c>
    </row>
    <row r="62" spans="1:14" x14ac:dyDescent="0.2">
      <c r="A62" s="10"/>
      <c r="B62" s="11" t="s">
        <v>48</v>
      </c>
      <c r="C62" s="69">
        <f t="shared" ref="C62:N62" si="2">IF($C$10="Monthly",$C$12*0.12,0)</f>
        <v>83.88</v>
      </c>
      <c r="D62" s="69">
        <f t="shared" si="2"/>
        <v>83.88</v>
      </c>
      <c r="E62" s="69">
        <f t="shared" si="2"/>
        <v>83.88</v>
      </c>
      <c r="F62" s="69">
        <f t="shared" si="2"/>
        <v>83.88</v>
      </c>
      <c r="G62" s="69">
        <f t="shared" si="2"/>
        <v>83.88</v>
      </c>
      <c r="H62" s="69">
        <f t="shared" si="2"/>
        <v>83.88</v>
      </c>
      <c r="I62" s="69">
        <f t="shared" si="2"/>
        <v>83.88</v>
      </c>
      <c r="J62" s="69">
        <f t="shared" si="2"/>
        <v>83.88</v>
      </c>
      <c r="K62" s="69">
        <f t="shared" si="2"/>
        <v>83.88</v>
      </c>
      <c r="L62" s="69">
        <f t="shared" si="2"/>
        <v>83.88</v>
      </c>
      <c r="M62" s="69">
        <f t="shared" si="2"/>
        <v>83.88</v>
      </c>
      <c r="N62" s="69">
        <f t="shared" si="2"/>
        <v>83.88</v>
      </c>
    </row>
    <row r="63" spans="1:14" x14ac:dyDescent="0.2">
      <c r="A63" s="10"/>
      <c r="B63" s="11" t="s">
        <v>53</v>
      </c>
      <c r="C63" s="69">
        <f>IF($C$10="Annual",$C$13*0.15,0)</f>
        <v>0</v>
      </c>
      <c r="D63" s="69">
        <v>0</v>
      </c>
      <c r="E63" s="69">
        <v>0</v>
      </c>
      <c r="F63" s="69">
        <v>0</v>
      </c>
      <c r="G63" s="69">
        <v>0</v>
      </c>
      <c r="H63" s="69">
        <v>0</v>
      </c>
      <c r="I63" s="69">
        <v>0</v>
      </c>
      <c r="J63" s="69">
        <v>0</v>
      </c>
      <c r="K63" s="69">
        <v>0</v>
      </c>
      <c r="L63" s="69">
        <v>0</v>
      </c>
      <c r="M63" s="69">
        <v>0</v>
      </c>
      <c r="N63" s="69">
        <v>0</v>
      </c>
    </row>
    <row r="64" spans="1:14" x14ac:dyDescent="0.2">
      <c r="A64" s="10"/>
      <c r="B64" s="10"/>
      <c r="C64" s="10"/>
      <c r="D64" s="10"/>
      <c r="E64" s="10"/>
      <c r="F64" s="10"/>
      <c r="G64" s="10"/>
      <c r="H64" s="10"/>
      <c r="I64" s="10"/>
      <c r="J64" s="10"/>
      <c r="K64" s="10"/>
      <c r="L64" s="10"/>
      <c r="M64" s="10"/>
      <c r="N64" s="10"/>
    </row>
    <row r="65" spans="1:14" x14ac:dyDescent="0.2">
      <c r="A65" s="10"/>
      <c r="B65" s="10"/>
      <c r="C65" s="10"/>
      <c r="D65" s="10"/>
      <c r="E65" s="10"/>
      <c r="F65" s="10"/>
      <c r="G65" s="10"/>
      <c r="H65" s="10"/>
      <c r="I65" s="10"/>
      <c r="J65" s="10"/>
      <c r="K65" s="10"/>
      <c r="L65" s="10"/>
      <c r="M65" s="10"/>
      <c r="N65" s="10"/>
    </row>
    <row r="66" spans="1:14" x14ac:dyDescent="0.2">
      <c r="A66" s="10"/>
      <c r="B66" s="6" t="s">
        <v>177</v>
      </c>
      <c r="C66" s="10"/>
      <c r="D66" s="10"/>
      <c r="E66" s="10"/>
      <c r="F66" s="10"/>
      <c r="G66" s="10"/>
      <c r="H66" s="10"/>
      <c r="I66" s="10"/>
      <c r="J66" s="10"/>
      <c r="K66" s="10"/>
      <c r="L66" s="10"/>
      <c r="M66" s="10"/>
      <c r="N66" s="10"/>
    </row>
    <row r="67" spans="1:14" x14ac:dyDescent="0.2">
      <c r="A67" s="10"/>
      <c r="B67" s="81" t="s">
        <v>178</v>
      </c>
      <c r="C67" s="10"/>
      <c r="D67" s="10"/>
      <c r="E67" s="81" t="s">
        <v>179</v>
      </c>
      <c r="F67" s="10"/>
      <c r="G67" s="10"/>
      <c r="H67" s="81" t="s">
        <v>180</v>
      </c>
      <c r="I67" s="10"/>
      <c r="J67" s="10"/>
      <c r="K67" s="10"/>
      <c r="L67" s="10"/>
      <c r="M67" s="10"/>
      <c r="N67" s="10"/>
    </row>
    <row r="68" spans="1:14" x14ac:dyDescent="0.2">
      <c r="A68" s="10"/>
      <c r="B68" s="82" t="s">
        <v>181</v>
      </c>
      <c r="C68" s="10"/>
      <c r="D68" s="10"/>
      <c r="E68" s="82" t="s">
        <v>182</v>
      </c>
      <c r="F68" s="10"/>
      <c r="G68" s="10"/>
      <c r="H68" s="82" t="s">
        <v>183</v>
      </c>
      <c r="I68" s="10"/>
      <c r="J68" s="10"/>
      <c r="K68" s="10"/>
      <c r="L68" s="10"/>
      <c r="M68" s="10"/>
      <c r="N68" s="10"/>
    </row>
    <row r="69" spans="1:14" x14ac:dyDescent="0.2">
      <c r="A69" s="10"/>
      <c r="B69" s="10"/>
      <c r="C69" s="10"/>
      <c r="D69" s="10"/>
      <c r="E69" s="10"/>
      <c r="F69" s="10"/>
      <c r="G69" s="10"/>
      <c r="H69" s="10"/>
      <c r="I69" s="10"/>
      <c r="J69" s="10"/>
      <c r="K69" s="10"/>
      <c r="L69" s="10"/>
      <c r="M69" s="10"/>
      <c r="N69" s="10"/>
    </row>
    <row r="70" spans="1:14" x14ac:dyDescent="0.2">
      <c r="A70" s="10"/>
      <c r="B70" s="10"/>
      <c r="C70" s="10"/>
      <c r="D70" s="10"/>
      <c r="E70" s="10"/>
      <c r="F70" s="10"/>
      <c r="G70" s="10"/>
      <c r="H70" s="10"/>
      <c r="I70" s="10"/>
      <c r="J70" s="10"/>
      <c r="K70" s="10"/>
      <c r="L70" s="10"/>
      <c r="M70" s="10"/>
      <c r="N70" s="10"/>
    </row>
    <row r="71" spans="1:14" x14ac:dyDescent="0.2">
      <c r="A71" s="10"/>
      <c r="B71" s="10"/>
      <c r="C71" s="10"/>
      <c r="D71" s="10"/>
      <c r="E71" s="10"/>
      <c r="F71" s="10"/>
      <c r="G71" s="10"/>
      <c r="H71" s="10"/>
      <c r="I71" s="10"/>
      <c r="J71" s="10"/>
      <c r="K71" s="10"/>
      <c r="L71" s="10"/>
      <c r="M71" s="10"/>
      <c r="N71" s="10"/>
    </row>
    <row r="72" spans="1:14" x14ac:dyDescent="0.2">
      <c r="A72" s="10"/>
      <c r="B72" s="10"/>
      <c r="C72" s="10"/>
      <c r="D72" s="10"/>
      <c r="E72" s="10"/>
      <c r="F72" s="10"/>
      <c r="G72" s="10"/>
      <c r="H72" s="10"/>
      <c r="I72" s="10"/>
      <c r="J72" s="10"/>
      <c r="K72" s="10"/>
      <c r="L72" s="10"/>
      <c r="M72" s="10"/>
      <c r="N72" s="10"/>
    </row>
    <row r="73" spans="1:14" x14ac:dyDescent="0.2">
      <c r="A73" s="10"/>
      <c r="B73" s="10"/>
      <c r="C73" s="10"/>
      <c r="D73" s="10"/>
      <c r="E73" s="10"/>
      <c r="F73" s="10"/>
      <c r="G73" s="10"/>
      <c r="H73" s="10"/>
      <c r="I73" s="10"/>
      <c r="J73" s="10"/>
      <c r="K73" s="10"/>
      <c r="L73" s="10"/>
      <c r="M73" s="10"/>
      <c r="N73" s="10"/>
    </row>
    <row r="74" spans="1:14" x14ac:dyDescent="0.2">
      <c r="A74" s="10"/>
      <c r="B74" s="10"/>
      <c r="C74" s="10"/>
      <c r="D74" s="10"/>
      <c r="E74" s="10"/>
      <c r="F74" s="10"/>
      <c r="G74" s="10"/>
      <c r="H74" s="10"/>
      <c r="I74" s="10"/>
      <c r="J74" s="10"/>
      <c r="K74" s="10"/>
      <c r="L74" s="10"/>
      <c r="M74" s="10"/>
      <c r="N74" s="10"/>
    </row>
    <row r="75" spans="1:14" x14ac:dyDescent="0.2">
      <c r="A75" s="10"/>
      <c r="B75" s="10"/>
      <c r="C75" s="10"/>
      <c r="D75" s="10"/>
      <c r="E75" s="10"/>
      <c r="F75" s="10"/>
      <c r="G75" s="10"/>
      <c r="H75" s="10"/>
      <c r="I75" s="10"/>
      <c r="J75" s="10"/>
      <c r="K75" s="10"/>
      <c r="L75" s="10"/>
      <c r="M75" s="10"/>
      <c r="N75" s="10"/>
    </row>
    <row r="76" spans="1:14" x14ac:dyDescent="0.2">
      <c r="A76" s="10"/>
      <c r="B76" s="10"/>
      <c r="C76" s="10"/>
      <c r="D76" s="10"/>
      <c r="E76" s="10"/>
      <c r="F76" s="10"/>
      <c r="G76" s="10"/>
      <c r="H76" s="10"/>
      <c r="I76" s="10"/>
      <c r="J76" s="10"/>
      <c r="K76" s="10"/>
      <c r="L76" s="10"/>
      <c r="M76" s="10"/>
      <c r="N76" s="10"/>
    </row>
    <row r="77" spans="1:14" x14ac:dyDescent="0.2">
      <c r="A77" s="10"/>
      <c r="B77" s="10"/>
      <c r="C77" s="10"/>
      <c r="D77" s="10"/>
      <c r="E77" s="10"/>
      <c r="F77" s="10"/>
      <c r="G77" s="10"/>
      <c r="H77" s="10"/>
      <c r="I77" s="10"/>
      <c r="J77" s="10"/>
      <c r="K77" s="10"/>
      <c r="L77" s="10"/>
      <c r="M77" s="10"/>
      <c r="N77" s="10"/>
    </row>
    <row r="78" spans="1:14" x14ac:dyDescent="0.2">
      <c r="A78" s="10"/>
      <c r="B78" s="10"/>
      <c r="C78" s="10"/>
      <c r="D78" s="10"/>
      <c r="E78" s="10"/>
      <c r="F78" s="10"/>
      <c r="G78" s="10"/>
      <c r="H78" s="10"/>
      <c r="I78" s="10"/>
      <c r="J78" s="10"/>
      <c r="K78" s="10"/>
      <c r="L78" s="10"/>
      <c r="M78" s="10"/>
      <c r="N78" s="10"/>
    </row>
    <row r="79" spans="1:14" x14ac:dyDescent="0.2">
      <c r="A79" s="10"/>
      <c r="B79" s="10"/>
      <c r="C79" s="10"/>
      <c r="D79" s="10"/>
      <c r="E79" s="10"/>
      <c r="F79" s="10"/>
      <c r="G79" s="10"/>
      <c r="H79" s="10"/>
      <c r="I79" s="10"/>
      <c r="J79" s="10"/>
      <c r="K79" s="10"/>
      <c r="L79" s="10"/>
      <c r="M79" s="10"/>
      <c r="N79" s="10"/>
    </row>
    <row r="80" spans="1:14" x14ac:dyDescent="0.2">
      <c r="A80" s="10"/>
      <c r="B80" s="10"/>
      <c r="C80" s="10"/>
      <c r="D80" s="10"/>
      <c r="E80" s="10"/>
      <c r="F80" s="10"/>
      <c r="G80" s="10"/>
      <c r="H80" s="10"/>
      <c r="I80" s="10"/>
      <c r="J80" s="10"/>
      <c r="K80" s="10"/>
      <c r="L80" s="10"/>
      <c r="M80" s="10"/>
      <c r="N80" s="10"/>
    </row>
    <row r="81" spans="1:14" x14ac:dyDescent="0.2">
      <c r="A81" s="10"/>
      <c r="B81" s="10"/>
      <c r="C81" s="10"/>
      <c r="D81" s="10"/>
      <c r="E81" s="10"/>
      <c r="F81" s="10"/>
      <c r="G81" s="10"/>
      <c r="H81" s="10"/>
      <c r="I81" s="10"/>
      <c r="J81" s="10"/>
      <c r="K81" s="10"/>
      <c r="L81" s="10"/>
      <c r="M81" s="10"/>
      <c r="N81" s="10"/>
    </row>
    <row r="82" spans="1:14" x14ac:dyDescent="0.2">
      <c r="A82" s="10"/>
      <c r="B82" s="10"/>
      <c r="C82" s="10"/>
      <c r="D82" s="10"/>
      <c r="E82" s="10"/>
      <c r="F82" s="10"/>
      <c r="G82" s="10"/>
      <c r="H82" s="10"/>
      <c r="I82" s="10"/>
      <c r="J82" s="10"/>
      <c r="K82" s="10"/>
      <c r="L82" s="10"/>
      <c r="M82" s="10"/>
      <c r="N82" s="10"/>
    </row>
    <row r="83" spans="1:14" x14ac:dyDescent="0.2">
      <c r="A83" s="10"/>
      <c r="B83" s="10"/>
      <c r="C83" s="10"/>
      <c r="D83" s="10"/>
      <c r="E83" s="10"/>
      <c r="F83" s="10"/>
      <c r="G83" s="10"/>
      <c r="H83" s="10"/>
      <c r="I83" s="10"/>
      <c r="J83" s="10"/>
      <c r="K83" s="10"/>
      <c r="L83" s="10"/>
      <c r="M83" s="10"/>
      <c r="N83" s="10"/>
    </row>
    <row r="84" spans="1:14" x14ac:dyDescent="0.2">
      <c r="A84" s="10"/>
      <c r="B84" s="10"/>
      <c r="C84" s="10"/>
      <c r="D84" s="10"/>
      <c r="E84" s="10"/>
      <c r="F84" s="10"/>
      <c r="G84" s="10"/>
      <c r="H84" s="10"/>
      <c r="I84" s="10"/>
      <c r="J84" s="10"/>
      <c r="K84" s="10"/>
      <c r="L84" s="10"/>
      <c r="M84" s="10"/>
      <c r="N84" s="10"/>
    </row>
    <row r="85" spans="1:14" x14ac:dyDescent="0.2">
      <c r="A85" s="10"/>
      <c r="B85" s="10"/>
      <c r="C85" s="10"/>
      <c r="D85" s="10"/>
      <c r="E85" s="10"/>
      <c r="F85" s="10"/>
      <c r="G85" s="10"/>
      <c r="H85" s="10"/>
      <c r="I85" s="10"/>
      <c r="J85" s="10"/>
      <c r="K85" s="10"/>
      <c r="L85" s="10"/>
      <c r="M85" s="10"/>
      <c r="N85" s="10"/>
    </row>
    <row r="86" spans="1:14" x14ac:dyDescent="0.2">
      <c r="A86" s="10"/>
      <c r="B86" s="10"/>
      <c r="C86" s="10"/>
      <c r="D86" s="10"/>
      <c r="E86" s="10"/>
      <c r="F86" s="10"/>
      <c r="G86" s="10"/>
      <c r="H86" s="10"/>
      <c r="I86" s="10"/>
      <c r="J86" s="10"/>
      <c r="K86" s="10"/>
      <c r="L86" s="10"/>
      <c r="M86" s="10"/>
      <c r="N86" s="10"/>
    </row>
    <row r="87" spans="1:14" x14ac:dyDescent="0.2">
      <c r="A87" s="10"/>
      <c r="B87" s="10"/>
      <c r="C87" s="10"/>
      <c r="D87" s="10"/>
      <c r="E87" s="10"/>
      <c r="F87" s="10"/>
      <c r="G87" s="10"/>
      <c r="H87" s="10"/>
      <c r="I87" s="10"/>
      <c r="J87" s="10"/>
      <c r="K87" s="10"/>
      <c r="L87" s="10"/>
      <c r="M87" s="10"/>
      <c r="N87" s="10"/>
    </row>
    <row r="88" spans="1:14" x14ac:dyDescent="0.2">
      <c r="A88" s="10"/>
      <c r="B88" s="10"/>
      <c r="C88" s="10"/>
      <c r="D88" s="10"/>
      <c r="E88" s="10"/>
      <c r="F88" s="10"/>
      <c r="G88" s="10"/>
      <c r="H88" s="10"/>
      <c r="I88" s="10"/>
      <c r="J88" s="10"/>
      <c r="K88" s="10"/>
      <c r="L88" s="10"/>
      <c r="M88" s="10"/>
      <c r="N88" s="10"/>
    </row>
    <row r="89" spans="1:14" x14ac:dyDescent="0.2">
      <c r="A89" s="10"/>
      <c r="B89" s="10"/>
      <c r="C89" s="10"/>
      <c r="D89" s="10"/>
      <c r="E89" s="10"/>
      <c r="F89" s="10"/>
      <c r="G89" s="10"/>
      <c r="H89" s="10"/>
      <c r="I89" s="10"/>
      <c r="J89" s="10"/>
      <c r="K89" s="10"/>
      <c r="L89" s="10"/>
      <c r="M89" s="10"/>
      <c r="N89" s="10"/>
    </row>
    <row r="90" spans="1:14" x14ac:dyDescent="0.2">
      <c r="A90" s="10"/>
      <c r="B90" s="10"/>
      <c r="C90" s="10"/>
      <c r="D90" s="10"/>
      <c r="E90" s="10"/>
      <c r="F90" s="10"/>
      <c r="G90" s="10"/>
      <c r="H90" s="10"/>
      <c r="I90" s="10"/>
      <c r="J90" s="10"/>
      <c r="K90" s="10"/>
      <c r="L90" s="10"/>
      <c r="M90" s="10"/>
      <c r="N90" s="10"/>
    </row>
    <row r="91" spans="1:14" x14ac:dyDescent="0.2">
      <c r="A91" s="10"/>
      <c r="B91" s="10"/>
      <c r="C91" s="10"/>
      <c r="D91" s="10"/>
      <c r="E91" s="10"/>
      <c r="F91" s="10"/>
      <c r="G91" s="10"/>
      <c r="H91" s="10"/>
      <c r="I91" s="10"/>
      <c r="J91" s="10"/>
      <c r="K91" s="10"/>
      <c r="L91" s="10"/>
      <c r="M91" s="10"/>
      <c r="N91" s="10"/>
    </row>
    <row r="92" spans="1:14" x14ac:dyDescent="0.2">
      <c r="A92" s="10"/>
      <c r="B92" s="10"/>
      <c r="C92" s="10"/>
      <c r="D92" s="10"/>
      <c r="E92" s="10"/>
      <c r="F92" s="10"/>
      <c r="G92" s="10"/>
      <c r="H92" s="10"/>
      <c r="I92" s="10"/>
      <c r="J92" s="10"/>
      <c r="K92" s="10"/>
      <c r="L92" s="10"/>
      <c r="M92" s="10"/>
      <c r="N92" s="10"/>
    </row>
    <row r="93" spans="1:14" x14ac:dyDescent="0.2">
      <c r="A93" s="10"/>
      <c r="B93" s="10"/>
      <c r="C93" s="10"/>
      <c r="D93" s="10"/>
      <c r="E93" s="10"/>
      <c r="F93" s="10"/>
      <c r="G93" s="10"/>
      <c r="H93" s="10"/>
      <c r="I93" s="10"/>
      <c r="J93" s="10"/>
      <c r="K93" s="10"/>
      <c r="L93" s="10"/>
      <c r="M93" s="10"/>
      <c r="N93" s="10"/>
    </row>
    <row r="94" spans="1:14" x14ac:dyDescent="0.2">
      <c r="A94" s="10"/>
      <c r="B94" s="10"/>
      <c r="C94" s="10"/>
      <c r="D94" s="10"/>
      <c r="E94" s="10"/>
      <c r="F94" s="10"/>
      <c r="G94" s="10"/>
      <c r="H94" s="10"/>
      <c r="I94" s="10"/>
      <c r="J94" s="10"/>
      <c r="K94" s="10"/>
      <c r="L94" s="10"/>
      <c r="M94" s="10"/>
      <c r="N94" s="10"/>
    </row>
    <row r="95" spans="1:14" x14ac:dyDescent="0.2">
      <c r="A95" s="10"/>
      <c r="B95" s="10"/>
      <c r="C95" s="10"/>
      <c r="D95" s="10"/>
      <c r="E95" s="10"/>
      <c r="F95" s="10"/>
      <c r="G95" s="10"/>
      <c r="H95" s="10"/>
      <c r="I95" s="10"/>
      <c r="J95" s="10"/>
      <c r="K95" s="10"/>
      <c r="L95" s="10"/>
      <c r="M95" s="10"/>
      <c r="N95" s="10"/>
    </row>
    <row r="96" spans="1:14" x14ac:dyDescent="0.2">
      <c r="A96" s="10"/>
      <c r="B96" s="10"/>
      <c r="C96" s="10"/>
      <c r="D96" s="10"/>
      <c r="E96" s="10"/>
      <c r="F96" s="10"/>
      <c r="G96" s="10"/>
      <c r="H96" s="10"/>
      <c r="I96" s="10"/>
      <c r="J96" s="10"/>
      <c r="K96" s="10"/>
      <c r="L96" s="10"/>
      <c r="M96" s="10"/>
      <c r="N96" s="10"/>
    </row>
    <row r="97" spans="1:14" x14ac:dyDescent="0.2">
      <c r="A97" s="10"/>
      <c r="B97" s="10"/>
      <c r="C97" s="10"/>
      <c r="D97" s="10"/>
      <c r="E97" s="10"/>
      <c r="F97" s="10"/>
      <c r="G97" s="10"/>
      <c r="H97" s="10"/>
      <c r="I97" s="10"/>
      <c r="J97" s="10"/>
      <c r="K97" s="10"/>
      <c r="L97" s="10"/>
      <c r="M97" s="10"/>
      <c r="N97" s="10"/>
    </row>
    <row r="98" spans="1:14" x14ac:dyDescent="0.2">
      <c r="A98" s="10"/>
      <c r="B98" s="10"/>
      <c r="C98" s="10"/>
      <c r="D98" s="10"/>
      <c r="E98" s="10"/>
      <c r="F98" s="10"/>
      <c r="G98" s="10"/>
      <c r="H98" s="10"/>
      <c r="I98" s="10"/>
      <c r="J98" s="10"/>
      <c r="K98" s="10"/>
      <c r="L98" s="10"/>
      <c r="M98" s="10"/>
      <c r="N98" s="10"/>
    </row>
    <row r="99" spans="1:14" x14ac:dyDescent="0.2">
      <c r="A99" s="10"/>
      <c r="B99" s="10"/>
      <c r="C99" s="10"/>
      <c r="D99" s="10"/>
      <c r="E99" s="10"/>
      <c r="F99" s="10"/>
      <c r="G99" s="10"/>
      <c r="H99" s="10"/>
      <c r="I99" s="10"/>
      <c r="J99" s="10"/>
      <c r="K99" s="10"/>
      <c r="L99" s="10"/>
      <c r="M99" s="10"/>
      <c r="N99" s="10"/>
    </row>
    <row r="100" spans="1:14" x14ac:dyDescent="0.2">
      <c r="A100" s="10"/>
      <c r="B100" s="10"/>
      <c r="C100" s="10"/>
      <c r="D100" s="10"/>
      <c r="E100" s="10"/>
      <c r="F100" s="10"/>
      <c r="G100" s="10"/>
      <c r="H100" s="10"/>
      <c r="I100" s="10"/>
      <c r="J100" s="10"/>
      <c r="K100" s="10"/>
      <c r="L100" s="10"/>
      <c r="M100" s="10"/>
      <c r="N100" s="10"/>
    </row>
  </sheetData>
  <dataValidations count="2">
    <dataValidation type="list" allowBlank="1" showInputMessage="1" showErrorMessage="1" sqref="C9" xr:uid="{A8ECBDAC-80DA-BB4E-BCA0-1B5A3DD21A66}">
      <formula1>"Team,Department,Company"</formula1>
    </dataValidation>
    <dataValidation type="list" allowBlank="1" showInputMessage="1" showErrorMessage="1" sqref="C10" xr:uid="{3BE0EDB4-44E5-1A4A-9464-4BD95D581FA7}">
      <formula1>"Monthly,Annual"</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 COVER</vt:lpstr>
      <vt:lpstr>📋 PRICING REFERENCE</vt:lpstr>
      <vt:lpstr>💰 MODALITY A</vt:lpstr>
      <vt:lpstr>💰 MODALITY B</vt:lpstr>
      <vt:lpstr>💰 MODALITY C</vt:lpstr>
      <vt:lpstr>💰 MODALITY D</vt:lpstr>
      <vt:lpstr>📊 SCENARIO COMPARISON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Rubenlord</dc:creator>
  <cp:lastModifiedBy>Rubenlord</cp:lastModifiedBy>
  <dcterms:created xsi:type="dcterms:W3CDTF">2026-02-20T04:16:01Z</dcterms:created>
  <dcterms:modified xsi:type="dcterms:W3CDTF">2026-02-27T15:51:30Z</dcterms:modified>
</cp:coreProperties>
</file>